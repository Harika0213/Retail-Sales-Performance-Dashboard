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be78bd4d2a115556/Documents/"/>
    </mc:Choice>
  </mc:AlternateContent>
  <xr:revisionPtr revIDLastSave="28" documentId="8_{EDEDFCD2-B3D9-4E6A-921F-2792B4F0307F}" xr6:coauthVersionLast="47" xr6:coauthVersionMax="47" xr10:uidLastSave="{FF795CCB-BC3C-4074-B8CD-2F05B3A2C87D}"/>
  <bookViews>
    <workbookView xWindow="-108" yWindow="-108" windowWidth="23256" windowHeight="12456" firstSheet="2" activeTab="2" xr2:uid="{00000000-000D-0000-FFFF-FFFF00000000}"/>
  </bookViews>
  <sheets>
    <sheet name="Table" sheetId="6" state="hidden" r:id="rId1"/>
    <sheet name="Pivots" sheetId="20" state="hidden" r:id="rId2"/>
    <sheet name="Dashboard" sheetId="23" r:id="rId3"/>
  </sheets>
  <definedNames>
    <definedName name="ExternalData_2" localSheetId="0" hidden="1">Table!$A$1:$O$335</definedName>
    <definedName name="NativeTimeline_Order_Date">#N/A</definedName>
    <definedName name="Slicer_Category">#N/A</definedName>
    <definedName name="Slicer_City">#N/A</definedName>
    <definedName name="Slicer_Month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 i="20" l="1"/>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F17" i="20"/>
  <c r="F16" i="20"/>
  <c r="P23" i="6"/>
  <c r="Q23" i="6"/>
  <c r="R23" i="6"/>
  <c r="P2" i="6"/>
  <c r="P335" i="6"/>
  <c r="P334" i="6"/>
  <c r="P333" i="6"/>
  <c r="P332" i="6"/>
  <c r="P331" i="6"/>
  <c r="P330" i="6"/>
  <c r="P329" i="6"/>
  <c r="P328" i="6"/>
  <c r="P327" i="6"/>
  <c r="P326" i="6"/>
  <c r="P325" i="6"/>
  <c r="P324" i="6"/>
  <c r="P323" i="6"/>
  <c r="P322" i="6"/>
  <c r="P321" i="6"/>
  <c r="P320" i="6"/>
  <c r="P319" i="6"/>
  <c r="P318" i="6"/>
  <c r="P317" i="6"/>
  <c r="P316" i="6"/>
  <c r="P315" i="6"/>
  <c r="P314" i="6"/>
  <c r="P313" i="6"/>
  <c r="P312" i="6"/>
  <c r="P311" i="6"/>
  <c r="P310" i="6"/>
  <c r="P309" i="6"/>
  <c r="P308" i="6"/>
  <c r="P307" i="6"/>
  <c r="P306" i="6"/>
  <c r="P305" i="6"/>
  <c r="P304" i="6"/>
  <c r="P303" i="6"/>
  <c r="P302" i="6"/>
  <c r="P301" i="6"/>
  <c r="P300" i="6"/>
  <c r="P299" i="6"/>
  <c r="P298" i="6"/>
  <c r="P297" i="6"/>
  <c r="P296" i="6"/>
  <c r="P295" i="6"/>
  <c r="P294" i="6"/>
  <c r="P293" i="6"/>
  <c r="P292" i="6"/>
  <c r="P291" i="6"/>
  <c r="P290" i="6"/>
  <c r="P289" i="6"/>
  <c r="P288" i="6"/>
  <c r="P287" i="6"/>
  <c r="P286" i="6"/>
  <c r="P285" i="6"/>
  <c r="P284" i="6"/>
  <c r="P283" i="6"/>
  <c r="P282" i="6"/>
  <c r="P281" i="6"/>
  <c r="P280" i="6"/>
  <c r="P279" i="6"/>
  <c r="P278" i="6"/>
  <c r="P277" i="6"/>
  <c r="P276" i="6"/>
  <c r="P275" i="6"/>
  <c r="P274" i="6"/>
  <c r="P273" i="6"/>
  <c r="P272" i="6"/>
  <c r="P271" i="6"/>
  <c r="P270" i="6"/>
  <c r="P269" i="6"/>
  <c r="P268" i="6"/>
  <c r="P267" i="6"/>
  <c r="P266" i="6"/>
  <c r="P265" i="6"/>
  <c r="P264" i="6"/>
  <c r="P263" i="6"/>
  <c r="P262" i="6"/>
  <c r="P261" i="6"/>
  <c r="P260" i="6"/>
  <c r="P259" i="6"/>
  <c r="P258" i="6"/>
  <c r="P257" i="6"/>
  <c r="P256" i="6"/>
  <c r="P255" i="6"/>
  <c r="P254" i="6"/>
  <c r="P253" i="6"/>
  <c r="P252" i="6"/>
  <c r="P251" i="6"/>
  <c r="P250" i="6"/>
  <c r="P249" i="6"/>
  <c r="P248" i="6"/>
  <c r="P247" i="6"/>
  <c r="P246" i="6"/>
  <c r="P245" i="6"/>
  <c r="P244" i="6"/>
  <c r="P243" i="6"/>
  <c r="P242" i="6"/>
  <c r="P241" i="6"/>
  <c r="P240" i="6"/>
  <c r="P239" i="6"/>
  <c r="P238" i="6"/>
  <c r="P237" i="6"/>
  <c r="P236" i="6"/>
  <c r="P235" i="6"/>
  <c r="P234" i="6"/>
  <c r="P233" i="6"/>
  <c r="P232" i="6"/>
  <c r="P231" i="6"/>
  <c r="P230" i="6"/>
  <c r="P229" i="6"/>
  <c r="P228" i="6"/>
  <c r="P227" i="6"/>
  <c r="P226" i="6"/>
  <c r="P225" i="6"/>
  <c r="P224" i="6"/>
  <c r="P223" i="6"/>
  <c r="P222" i="6"/>
  <c r="P221" i="6"/>
  <c r="P220" i="6"/>
  <c r="P219" i="6"/>
  <c r="P218" i="6"/>
  <c r="P217" i="6"/>
  <c r="P216" i="6"/>
  <c r="P215" i="6"/>
  <c r="P214" i="6"/>
  <c r="P213" i="6"/>
  <c r="P212" i="6"/>
  <c r="P211" i="6"/>
  <c r="P210" i="6"/>
  <c r="P209" i="6"/>
  <c r="P208" i="6"/>
  <c r="P207" i="6"/>
  <c r="P206" i="6"/>
  <c r="P205" i="6"/>
  <c r="P204" i="6"/>
  <c r="P203" i="6"/>
  <c r="P202" i="6"/>
  <c r="P201" i="6"/>
  <c r="P200" i="6"/>
  <c r="P199" i="6"/>
  <c r="P198" i="6"/>
  <c r="P197" i="6"/>
  <c r="P196" i="6"/>
  <c r="P195" i="6"/>
  <c r="P194" i="6"/>
  <c r="P193" i="6"/>
  <c r="P192" i="6"/>
  <c r="P191" i="6"/>
  <c r="P190" i="6"/>
  <c r="P189" i="6"/>
  <c r="P188" i="6"/>
  <c r="P187" i="6"/>
  <c r="P186" i="6"/>
  <c r="P185" i="6"/>
  <c r="P184" i="6"/>
  <c r="P183" i="6"/>
  <c r="P182" i="6"/>
  <c r="P181" i="6"/>
  <c r="P180" i="6"/>
  <c r="P179" i="6"/>
  <c r="P178" i="6"/>
  <c r="P177" i="6"/>
  <c r="P176" i="6"/>
  <c r="P175" i="6"/>
  <c r="P174" i="6"/>
  <c r="P173" i="6"/>
  <c r="P172" i="6"/>
  <c r="P171" i="6"/>
  <c r="P170" i="6"/>
  <c r="P169" i="6"/>
  <c r="P168" i="6"/>
  <c r="P167" i="6"/>
  <c r="P166" i="6"/>
  <c r="P165" i="6"/>
  <c r="P164" i="6"/>
  <c r="P163" i="6"/>
  <c r="P162"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2" i="6"/>
  <c r="P21" i="6"/>
  <c r="P20" i="6"/>
  <c r="P19" i="6"/>
  <c r="P18" i="6"/>
  <c r="P17" i="6"/>
  <c r="P16" i="6"/>
  <c r="P15" i="6"/>
  <c r="P14" i="6"/>
  <c r="P13" i="6"/>
  <c r="P12" i="6"/>
  <c r="P11" i="6"/>
  <c r="P10" i="6"/>
  <c r="P9" i="6"/>
  <c r="P8" i="6"/>
  <c r="P7" i="6"/>
  <c r="P6" i="6"/>
  <c r="P5" i="6"/>
  <c r="P4" i="6"/>
  <c r="P3" i="6"/>
  <c r="R2" i="6"/>
  <c r="R3" i="6"/>
  <c r="R4" i="6"/>
  <c r="R5" i="6"/>
  <c r="R6" i="6"/>
  <c r="R7" i="6"/>
  <c r="R8" i="6"/>
  <c r="R9" i="6"/>
  <c r="R10" i="6"/>
  <c r="R11" i="6"/>
  <c r="R12" i="6"/>
  <c r="R13" i="6"/>
  <c r="R14" i="6"/>
  <c r="R15" i="6"/>
  <c r="R16" i="6"/>
  <c r="R17" i="6"/>
  <c r="R18" i="6"/>
  <c r="R19" i="6"/>
  <c r="R20" i="6"/>
  <c r="R21" i="6"/>
  <c r="R22"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Q2" i="6"/>
  <c r="Q3" i="6"/>
  <c r="Q4" i="6"/>
  <c r="Q5" i="6"/>
  <c r="Q6" i="6"/>
  <c r="Q7" i="6"/>
  <c r="Q8" i="6"/>
  <c r="Q9" i="6"/>
  <c r="Q10" i="6"/>
  <c r="Q11" i="6"/>
  <c r="Q12" i="6"/>
  <c r="Q13" i="6"/>
  <c r="Q14" i="6"/>
  <c r="Q15" i="6"/>
  <c r="Q16" i="6"/>
  <c r="Q17" i="6"/>
  <c r="Q18" i="6"/>
  <c r="Q19" i="6"/>
  <c r="Q20" i="6"/>
  <c r="Q21" i="6"/>
  <c r="Q22"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F18" i="20" l="1"/>
  <c r="K267" i="6" l="1"/>
  <c r="K124" i="6"/>
  <c r="K316" i="6"/>
  <c r="K84" i="6"/>
  <c r="K250" i="6"/>
  <c r="K218" i="6"/>
  <c r="K146" i="6"/>
  <c r="K102" i="6"/>
  <c r="K110" i="6"/>
  <c r="K326" i="6"/>
  <c r="K328" i="6"/>
  <c r="K187" i="6"/>
  <c r="K13" i="6"/>
  <c r="K269" i="6"/>
  <c r="K229" i="6"/>
  <c r="K210" i="6"/>
  <c r="K239" i="6"/>
  <c r="K209" i="6"/>
  <c r="K127" i="6"/>
  <c r="K151" i="6"/>
  <c r="K128" i="6"/>
  <c r="K36" i="6"/>
  <c r="K176" i="6"/>
  <c r="K112" i="6"/>
  <c r="K213" i="6"/>
  <c r="K235" i="6"/>
  <c r="K244" i="6"/>
  <c r="K2" i="6"/>
  <c r="K6" i="6"/>
  <c r="K111" i="6"/>
  <c r="K51" i="6"/>
  <c r="K179" i="6"/>
  <c r="K327" i="6"/>
  <c r="K167" i="6"/>
  <c r="K193" i="6"/>
  <c r="K43" i="6"/>
  <c r="K273" i="6"/>
  <c r="K141" i="6"/>
  <c r="K270" i="6"/>
  <c r="K319" i="6"/>
  <c r="K152" i="6"/>
  <c r="K321" i="6"/>
  <c r="K82" i="6"/>
  <c r="K15" i="6"/>
  <c r="K103" i="6"/>
  <c r="K240" i="6"/>
  <c r="K60" i="6"/>
  <c r="K96" i="6"/>
  <c r="K241" i="6"/>
  <c r="K204" i="6"/>
  <c r="K312" i="6"/>
  <c r="K140" i="6"/>
  <c r="K266" i="6"/>
  <c r="K205" i="6"/>
  <c r="K163" i="6"/>
  <c r="K214" i="6"/>
  <c r="K203" i="6"/>
  <c r="K330" i="6"/>
  <c r="K206" i="6"/>
  <c r="K114" i="6"/>
  <c r="K75" i="6"/>
  <c r="K233" i="6"/>
  <c r="K298" i="6"/>
  <c r="K42" i="6"/>
  <c r="K221" i="6"/>
  <c r="K165" i="6"/>
  <c r="K227" i="6"/>
  <c r="K64" i="6"/>
  <c r="K77" i="6"/>
  <c r="K8" i="6"/>
  <c r="K79" i="6"/>
  <c r="K304" i="6"/>
  <c r="K295" i="6"/>
  <c r="K285" i="6"/>
  <c r="K122" i="6"/>
  <c r="K93" i="6"/>
  <c r="K5" i="6"/>
  <c r="K202" i="6"/>
  <c r="K97" i="6"/>
  <c r="K52" i="6"/>
  <c r="K219" i="6"/>
  <c r="K188" i="6"/>
  <c r="K252" i="6"/>
  <c r="K192" i="6"/>
  <c r="K294" i="6"/>
  <c r="K73" i="6"/>
  <c r="K254" i="6"/>
  <c r="K184" i="6"/>
  <c r="K23" i="6"/>
  <c r="K243" i="6"/>
  <c r="K34" i="6"/>
  <c r="K268" i="6"/>
  <c r="K324" i="6"/>
  <c r="K274" i="6"/>
  <c r="K297" i="6"/>
  <c r="K35" i="6"/>
  <c r="K200" i="6"/>
  <c r="K251" i="6"/>
  <c r="K260" i="6"/>
  <c r="K68" i="6"/>
  <c r="K288" i="6"/>
  <c r="K177" i="6"/>
  <c r="K16" i="6"/>
  <c r="K226" i="6"/>
  <c r="K248" i="6"/>
  <c r="K275" i="6"/>
  <c r="K123" i="6"/>
  <c r="K76" i="6"/>
  <c r="K276" i="6"/>
  <c r="K135" i="6"/>
  <c r="K26" i="6"/>
  <c r="K44" i="6"/>
  <c r="K307" i="6"/>
  <c r="K178" i="6"/>
  <c r="K25" i="6"/>
  <c r="K56" i="6"/>
  <c r="K217" i="6"/>
  <c r="K95" i="6"/>
  <c r="K20" i="6"/>
  <c r="K308" i="6"/>
  <c r="K159" i="6"/>
  <c r="K172" i="6"/>
  <c r="K281" i="6"/>
  <c r="K242" i="6"/>
  <c r="K70" i="6"/>
  <c r="K309" i="6"/>
  <c r="K37" i="6"/>
  <c r="K161" i="6"/>
  <c r="K131" i="6"/>
  <c r="K66" i="6"/>
  <c r="K105" i="6"/>
  <c r="K286" i="6"/>
  <c r="K222" i="6"/>
  <c r="K225" i="6"/>
  <c r="K293" i="6"/>
  <c r="K237" i="6"/>
  <c r="K87" i="6"/>
  <c r="K317" i="6"/>
  <c r="K99" i="6"/>
  <c r="K108" i="6"/>
  <c r="K130" i="6"/>
  <c r="K149" i="6"/>
  <c r="K120" i="6"/>
  <c r="K291" i="6"/>
  <c r="K255" i="6"/>
  <c r="K9" i="6"/>
  <c r="K325" i="6"/>
  <c r="K46" i="6"/>
  <c r="K166" i="6"/>
  <c r="K48" i="6"/>
  <c r="K45" i="6"/>
  <c r="K133" i="6"/>
  <c r="K115" i="6"/>
  <c r="K137" i="6"/>
  <c r="K296" i="6"/>
  <c r="K144" i="6"/>
  <c r="K154" i="6"/>
  <c r="K234" i="6"/>
  <c r="K264" i="6"/>
  <c r="K129" i="6"/>
  <c r="K253" i="6"/>
  <c r="K311" i="6"/>
  <c r="K211" i="6"/>
  <c r="K86" i="6"/>
  <c r="K256" i="6"/>
  <c r="K224" i="6"/>
  <c r="K290" i="6"/>
  <c r="K194" i="6"/>
  <c r="K39" i="6"/>
  <c r="K259" i="6"/>
  <c r="K302" i="6"/>
  <c r="K329" i="6"/>
  <c r="K170" i="6"/>
  <c r="K247" i="6"/>
  <c r="K24" i="6"/>
  <c r="K301" i="6"/>
  <c r="K57" i="6"/>
  <c r="K258" i="6"/>
  <c r="K107" i="6"/>
  <c r="K53" i="6"/>
  <c r="K246" i="6"/>
  <c r="K306" i="6"/>
  <c r="K19" i="6"/>
  <c r="K310" i="6"/>
  <c r="K143" i="6"/>
  <c r="K92" i="6"/>
  <c r="K21" i="6"/>
  <c r="K134" i="6"/>
  <c r="K27" i="6"/>
  <c r="K113" i="6"/>
  <c r="K14" i="6"/>
  <c r="K181" i="6"/>
  <c r="K81" i="6"/>
  <c r="K277" i="6"/>
  <c r="K101" i="6"/>
  <c r="K61" i="6"/>
  <c r="K320" i="6"/>
  <c r="K117" i="6"/>
  <c r="K139" i="6"/>
  <c r="K299" i="6"/>
  <c r="K116" i="6"/>
  <c r="K168" i="6"/>
  <c r="K7" i="6"/>
  <c r="K182" i="6"/>
  <c r="K90" i="6"/>
  <c r="K223" i="6"/>
  <c r="K292" i="6"/>
  <c r="K228" i="6"/>
  <c r="K180" i="6"/>
  <c r="K183" i="6"/>
  <c r="K196" i="6"/>
  <c r="K282" i="6"/>
  <c r="K119" i="6"/>
  <c r="K150" i="6"/>
  <c r="K287" i="6"/>
  <c r="K158" i="6"/>
  <c r="K171" i="6"/>
  <c r="K3" i="6"/>
  <c r="K136" i="6"/>
  <c r="K333" i="6"/>
  <c r="K28" i="6"/>
  <c r="K199" i="6"/>
  <c r="K85" i="6"/>
  <c r="K323" i="6"/>
  <c r="K175" i="6"/>
  <c r="K74" i="6"/>
  <c r="K83" i="6"/>
  <c r="K208" i="6"/>
  <c r="K216" i="6"/>
  <c r="K257" i="6"/>
  <c r="K157" i="6"/>
  <c r="K332" i="6"/>
  <c r="K185" i="6"/>
  <c r="K63" i="6"/>
  <c r="K334" i="6"/>
  <c r="K58" i="6"/>
  <c r="K189" i="6"/>
  <c r="K236" i="6"/>
  <c r="K261" i="6"/>
  <c r="K33" i="6"/>
  <c r="K155" i="6"/>
  <c r="K69" i="6"/>
  <c r="K32" i="6"/>
  <c r="K142" i="6"/>
  <c r="K153" i="6"/>
  <c r="K49" i="6"/>
  <c r="K62" i="6"/>
  <c r="K156" i="6"/>
  <c r="K54" i="6"/>
  <c r="K280" i="6"/>
  <c r="K40" i="6"/>
  <c r="K265" i="6"/>
  <c r="K300" i="6"/>
  <c r="K11" i="6"/>
  <c r="K29" i="6"/>
  <c r="K22" i="6"/>
  <c r="K126" i="6"/>
  <c r="K215" i="6"/>
  <c r="K173" i="6"/>
  <c r="K283" i="6"/>
  <c r="K231" i="6"/>
  <c r="K88" i="6"/>
  <c r="K198" i="6"/>
  <c r="K121" i="6"/>
  <c r="K98" i="6"/>
  <c r="K249" i="6"/>
  <c r="K12" i="6"/>
  <c r="K145" i="6"/>
  <c r="K38" i="6"/>
  <c r="K80" i="6"/>
  <c r="K30" i="6"/>
  <c r="K89" i="6"/>
  <c r="K284" i="6"/>
  <c r="K314" i="6"/>
  <c r="K160" i="6"/>
  <c r="K190" i="6"/>
  <c r="K232" i="6"/>
  <c r="K195" i="6"/>
  <c r="K335" i="6"/>
  <c r="K201" i="6"/>
  <c r="K322" i="6"/>
  <c r="K132" i="6"/>
  <c r="K10" i="6"/>
  <c r="K55" i="6"/>
  <c r="K125" i="6"/>
  <c r="K279" i="6"/>
  <c r="K109" i="6"/>
  <c r="K238" i="6"/>
  <c r="K197" i="6"/>
  <c r="K272" i="6"/>
  <c r="K212" i="6"/>
  <c r="K245" i="6"/>
  <c r="K50" i="6"/>
  <c r="K289" i="6"/>
  <c r="K94" i="6"/>
  <c r="K72" i="6"/>
  <c r="K303" i="6"/>
  <c r="K207" i="6"/>
  <c r="K18" i="6"/>
  <c r="K100" i="6"/>
  <c r="K47" i="6"/>
  <c r="K71" i="6"/>
  <c r="K106" i="6"/>
  <c r="K104" i="6"/>
  <c r="K186" i="6"/>
  <c r="K31" i="6"/>
  <c r="K148" i="6"/>
  <c r="K59" i="6"/>
  <c r="K174" i="6"/>
  <c r="K191" i="6"/>
  <c r="K4" i="6"/>
  <c r="K65" i="6"/>
  <c r="K78" i="6"/>
  <c r="K220" i="6"/>
  <c r="K67" i="6"/>
  <c r="K318" i="6"/>
  <c r="K164" i="6"/>
  <c r="K315" i="6"/>
  <c r="K313" i="6"/>
  <c r="K138" i="6"/>
  <c r="K230" i="6"/>
  <c r="K17" i="6"/>
  <c r="K305" i="6"/>
  <c r="K41" i="6"/>
  <c r="K271" i="6"/>
  <c r="K91" i="6"/>
  <c r="K262" i="6"/>
  <c r="K263" i="6"/>
  <c r="K169" i="6"/>
  <c r="K118" i="6"/>
  <c r="K147" i="6"/>
  <c r="K278" i="6"/>
  <c r="K162" i="6"/>
  <c r="K33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6AAAFD-64DA-4BCD-9565-B70E7949A86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A15CE199-AD0F-4141-B560-3331AEB98A50}"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91DBA64D-8D77-4A80-BF8E-E1C5AD2341BE}"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<sst xmlns="http://schemas.openxmlformats.org/spreadsheetml/2006/main" count="2762" uniqueCount="427">
  <si>
    <t>Order ID</t>
  </si>
  <si>
    <t>Order Date</t>
  </si>
  <si>
    <t>Ship Date</t>
  </si>
  <si>
    <t>Ship Mode</t>
  </si>
  <si>
    <t>Customer Name</t>
  </si>
  <si>
    <t>Segment</t>
  </si>
  <si>
    <t>City</t>
  </si>
  <si>
    <t>State</t>
  </si>
  <si>
    <t>Region</t>
  </si>
  <si>
    <t>Category</t>
  </si>
  <si>
    <t>Sub-Category</t>
  </si>
  <si>
    <t>Sales</t>
  </si>
  <si>
    <t>Quantity</t>
  </si>
  <si>
    <t>Discount</t>
  </si>
  <si>
    <t>Profit</t>
  </si>
  <si>
    <t>CA-2020-840484</t>
  </si>
  <si>
    <t>CA-2021-499072</t>
  </si>
  <si>
    <t>CA-2021-304514</t>
  </si>
  <si>
    <t>CA-2018-599125</t>
  </si>
  <si>
    <t>CA-2024-157435</t>
  </si>
  <si>
    <t>CA-2024-844867</t>
  </si>
  <si>
    <t>CA-2019-668497</t>
  </si>
  <si>
    <t>CA-2019-782278</t>
  </si>
  <si>
    <t>CA-2022-419073</t>
  </si>
  <si>
    <t>CA-2018-973627</t>
  </si>
  <si>
    <t>CA-2021-903808</t>
  </si>
  <si>
    <t>CA-2022-800544</t>
  </si>
  <si>
    <t>CA-2023-275174</t>
  </si>
  <si>
    <t>CA-2020-520048</t>
  </si>
  <si>
    <t>CA-2021-139423</t>
  </si>
  <si>
    <t>CA-2021-238860</t>
  </si>
  <si>
    <t>CA-2023-714743</t>
  </si>
  <si>
    <t>CA-2024-770285</t>
  </si>
  <si>
    <t>CA-2020-970757</t>
  </si>
  <si>
    <t>CA-2020-393242</t>
  </si>
  <si>
    <t>CA-2024-433413</t>
  </si>
  <si>
    <t>CA-2023-279917</t>
  </si>
  <si>
    <t>CA-2023-106626</t>
  </si>
  <si>
    <t>CA-2023-808231</t>
  </si>
  <si>
    <t>CA-2023-698365</t>
  </si>
  <si>
    <t>CA-2021-734648</t>
  </si>
  <si>
    <t>CA-2019-802655</t>
  </si>
  <si>
    <t>CA-2021-513023</t>
  </si>
  <si>
    <t>CA-2021-611866</t>
  </si>
  <si>
    <t>CA-2018-225817</t>
  </si>
  <si>
    <t>CA-2019-203076</t>
  </si>
  <si>
    <t>CA-2021-701561</t>
  </si>
  <si>
    <t>CA-2022-523986</t>
  </si>
  <si>
    <t>CA-2023-608711</t>
  </si>
  <si>
    <t>CA-2018-788498</t>
  </si>
  <si>
    <t>CA-2022-671245</t>
  </si>
  <si>
    <t>CA-2021-598220</t>
  </si>
  <si>
    <t>CA-2018-603285</t>
  </si>
  <si>
    <t>CA-2023-373554</t>
  </si>
  <si>
    <t>CA-2022-127736</t>
  </si>
  <si>
    <t>CA-2020-493045</t>
  </si>
  <si>
    <t>CA-2024-293125</t>
  </si>
  <si>
    <t>CA-2019-467675</t>
  </si>
  <si>
    <t>CA-2024-868061</t>
  </si>
  <si>
    <t>CA-2018-310545</t>
  </si>
  <si>
    <t>CA-2023-152472</t>
  </si>
  <si>
    <t>CA-2023-353245</t>
  </si>
  <si>
    <t>CA-2024-364234</t>
  </si>
  <si>
    <t>CA-2021-695724</t>
  </si>
  <si>
    <t>CA-2018-601328</t>
  </si>
  <si>
    <t>CA-2021-805507</t>
  </si>
  <si>
    <t>CA-2024-697881</t>
  </si>
  <si>
    <t>CA-2020-465747</t>
  </si>
  <si>
    <t>CA-2020-832617</t>
  </si>
  <si>
    <t>CA-2020-250275</t>
  </si>
  <si>
    <t>CA-2020-120440</t>
  </si>
  <si>
    <t>CA-2018-181042</t>
  </si>
  <si>
    <t>CA-2023-750122</t>
  </si>
  <si>
    <t>CA-2022-515689</t>
  </si>
  <si>
    <t>CA-2023-245144</t>
  </si>
  <si>
    <t>CA-2024-550939</t>
  </si>
  <si>
    <t>CA-2024-237080</t>
  </si>
  <si>
    <t>CA-2021-726687</t>
  </si>
  <si>
    <t>CA-2021-501540</t>
  </si>
  <si>
    <t>CA-2019-442918</t>
  </si>
  <si>
    <t>CA-2019-371360</t>
  </si>
  <si>
    <t>CA-2022-667253</t>
  </si>
  <si>
    <t>CA-2022-425630</t>
  </si>
  <si>
    <t>CA-2024-178884</t>
  </si>
  <si>
    <t>CA-2020-206205</t>
  </si>
  <si>
    <t>CA-2020-965706</t>
  </si>
  <si>
    <t>CA-2020-917721</t>
  </si>
  <si>
    <t>CA-2021-729735</t>
  </si>
  <si>
    <t>CA-2021-339282</t>
  </si>
  <si>
    <t>CA-2023-972257</t>
  </si>
  <si>
    <t>CA-2019-800875</t>
  </si>
  <si>
    <t>CA-2019-745200</t>
  </si>
  <si>
    <t>CA-2023-504424</t>
  </si>
  <si>
    <t>CA-2023-345017</t>
  </si>
  <si>
    <t>CA-2018-186751</t>
  </si>
  <si>
    <t>CA-2021-912341</t>
  </si>
  <si>
    <t>CA-2018-510198</t>
  </si>
  <si>
    <t>CA-2022-282126</t>
  </si>
  <si>
    <t>CA-2023-375360</t>
  </si>
  <si>
    <t>CA-2023-621297</t>
  </si>
  <si>
    <t>CA-2021-259095</t>
  </si>
  <si>
    <t>CA-2021-870951</t>
  </si>
  <si>
    <t>CA-2018-782666</t>
  </si>
  <si>
    <t>CA-2021-747515</t>
  </si>
  <si>
    <t>CA-2022-488883</t>
  </si>
  <si>
    <t>CA-2020-664577</t>
  </si>
  <si>
    <t>CA-2018-625687</t>
  </si>
  <si>
    <t>CA-2018-684861</t>
  </si>
  <si>
    <t>CA-2022-175999</t>
  </si>
  <si>
    <t>CA-2023-474226</t>
  </si>
  <si>
    <t>CA-2023-137452</t>
  </si>
  <si>
    <t>CA-2019-544591</t>
  </si>
  <si>
    <t>CA-2019-396874</t>
  </si>
  <si>
    <t>CA-2022-230071</t>
  </si>
  <si>
    <t>CA-2022-193062</t>
  </si>
  <si>
    <t>CA-2019-628879</t>
  </si>
  <si>
    <t>CA-2023-253533</t>
  </si>
  <si>
    <t>CA-2020-932607</t>
  </si>
  <si>
    <t>CA-2024-622954</t>
  </si>
  <si>
    <t>CA-2021-412182</t>
  </si>
  <si>
    <t>CA-2022-631823</t>
  </si>
  <si>
    <t>CA-2020-120523</t>
  </si>
  <si>
    <t>CA-2019-962702</t>
  </si>
  <si>
    <t>CA-2020-534072</t>
  </si>
  <si>
    <t>CA-2021-804460</t>
  </si>
  <si>
    <t>CA-2018-174456</t>
  </si>
  <si>
    <t>CA-2019-537992</t>
  </si>
  <si>
    <t>CA-2022-541635</t>
  </si>
  <si>
    <t>CA-2021-944042</t>
  </si>
  <si>
    <t>CA-2019-614554</t>
  </si>
  <si>
    <t>CA-2021-526139</t>
  </si>
  <si>
    <t>CA-2023-340277</t>
  </si>
  <si>
    <t>CA-2024-398411</t>
  </si>
  <si>
    <t>CA-2021-568604</t>
  </si>
  <si>
    <t>CA-2023-495019</t>
  </si>
  <si>
    <t>CA-2019-119450</t>
  </si>
  <si>
    <t>CA-2020-843661</t>
  </si>
  <si>
    <t>CA-2018-906543</t>
  </si>
  <si>
    <t>CA-2021-226224</t>
  </si>
  <si>
    <t>CA-2020-598631</t>
  </si>
  <si>
    <t>CA-2020-197718</t>
  </si>
  <si>
    <t>CA-2022-705015</t>
  </si>
  <si>
    <t>CA-2018-353110</t>
  </si>
  <si>
    <t>CA-2019-693479</t>
  </si>
  <si>
    <t>CA-2023-754294</t>
  </si>
  <si>
    <t>CA-2024-791781</t>
  </si>
  <si>
    <t>CA-2020-196966</t>
  </si>
  <si>
    <t>CA-2022-924409</t>
  </si>
  <si>
    <t>CA-2024-307192</t>
  </si>
  <si>
    <t>CA-2019-133671</t>
  </si>
  <si>
    <t>CA-2018-599366</t>
  </si>
  <si>
    <t>CA-2021-433829</t>
  </si>
  <si>
    <t>CA-2020-846809</t>
  </si>
  <si>
    <t>CA-2021-827425</t>
  </si>
  <si>
    <t>CA-2024-385424</t>
  </si>
  <si>
    <t>CA-2019-957608</t>
  </si>
  <si>
    <t>CA-2022-361825</t>
  </si>
  <si>
    <t>CA-2022-563550</t>
  </si>
  <si>
    <t>CA-2024-330368</t>
  </si>
  <si>
    <t>CA-2024-942438</t>
  </si>
  <si>
    <t>CA-2019-248146</t>
  </si>
  <si>
    <t>CA-2021-140419</t>
  </si>
  <si>
    <t>CA-2020-491586</t>
  </si>
  <si>
    <t>CA-2024-993137</t>
  </si>
  <si>
    <t>CA-2019-902508</t>
  </si>
  <si>
    <t>CA-2018-773746</t>
  </si>
  <si>
    <t>CA-2023-901712</t>
  </si>
  <si>
    <t>CA-2019-904101</t>
  </si>
  <si>
    <t>CA-2018-566972</t>
  </si>
  <si>
    <t>CA-2021-384335</t>
  </si>
  <si>
    <t>CA-2018-794810</t>
  </si>
  <si>
    <t>CA-2020-695494</t>
  </si>
  <si>
    <t>CA-2020-436291</t>
  </si>
  <si>
    <t>CA-2024-185019</t>
  </si>
  <si>
    <t>CA-2023-772109</t>
  </si>
  <si>
    <t>CA-2020-336214</t>
  </si>
  <si>
    <t>CA-2018-943130</t>
  </si>
  <si>
    <t>CA-2024-316873</t>
  </si>
  <si>
    <t>CA-2018-210482</t>
  </si>
  <si>
    <t>CA-2018-848000</t>
  </si>
  <si>
    <t>CA-2024-237955</t>
  </si>
  <si>
    <t>CA-2023-261341</t>
  </si>
  <si>
    <t>CA-2020-639443</t>
  </si>
  <si>
    <t>CA-2023-887104</t>
  </si>
  <si>
    <t>CA-2018-276791</t>
  </si>
  <si>
    <t>CA-2019-379290</t>
  </si>
  <si>
    <t>CA-2024-799663</t>
  </si>
  <si>
    <t>CA-2020-974642</t>
  </si>
  <si>
    <t>CA-2021-550666</t>
  </si>
  <si>
    <t>CA-2021-229507</t>
  </si>
  <si>
    <t>CA-2024-112542</t>
  </si>
  <si>
    <t>CA-2019-306690</t>
  </si>
  <si>
    <t>CA-2019-218639</t>
  </si>
  <si>
    <t>CA-2018-709892</t>
  </si>
  <si>
    <t>CA-2024-209649</t>
  </si>
  <si>
    <t>CA-2020-555696</t>
  </si>
  <si>
    <t>CA-2024-724835</t>
  </si>
  <si>
    <t>CA-2023-623004</t>
  </si>
  <si>
    <t>CA-2020-279797</t>
  </si>
  <si>
    <t>CA-2024-823711</t>
  </si>
  <si>
    <t>CA-2018-743865</t>
  </si>
  <si>
    <t>CA-2018-765084</t>
  </si>
  <si>
    <t>CA-2023-217951</t>
  </si>
  <si>
    <t>CA-2021-211378</t>
  </si>
  <si>
    <t>CA-2021-934805</t>
  </si>
  <si>
    <t>CA-2018-457819</t>
  </si>
  <si>
    <t>CA-2024-370853</t>
  </si>
  <si>
    <t>CA-2018-539725</t>
  </si>
  <si>
    <t>CA-2021-696577</t>
  </si>
  <si>
    <t>CA-2020-960059</t>
  </si>
  <si>
    <t>CA-2021-357801</t>
  </si>
  <si>
    <t>CA-2024-932326</t>
  </si>
  <si>
    <t>CA-2021-122373</t>
  </si>
  <si>
    <t>CA-2022-599677</t>
  </si>
  <si>
    <t>CA-2019-670576</t>
  </si>
  <si>
    <t>CA-2023-195307</t>
  </si>
  <si>
    <t>CA-2023-226305</t>
  </si>
  <si>
    <t>CA-2023-477202</t>
  </si>
  <si>
    <t>CA-2018-969607</t>
  </si>
  <si>
    <t>CA-2019-636437</t>
  </si>
  <si>
    <t>CA-2019-939719</t>
  </si>
  <si>
    <t>CA-2023-823924</t>
  </si>
  <si>
    <t>CA-2021-520642</t>
  </si>
  <si>
    <t>CA-2022-806286</t>
  </si>
  <si>
    <t>CA-2023-116053</t>
  </si>
  <si>
    <t>CA-2022-198229</t>
  </si>
  <si>
    <t>CA-2020-846484</t>
  </si>
  <si>
    <t>CA-2019-817134</t>
  </si>
  <si>
    <t>CA-2021-309376</t>
  </si>
  <si>
    <t>CA-2020-577692</t>
  </si>
  <si>
    <t>CA-2023-645413</t>
  </si>
  <si>
    <t>CA-2024-880964</t>
  </si>
  <si>
    <t>CA-2023-642795</t>
  </si>
  <si>
    <t>CA-2020-471313</t>
  </si>
  <si>
    <t>CA-2018-436765</t>
  </si>
  <si>
    <t>CA-2024-483293</t>
  </si>
  <si>
    <t>CA-2018-686737</t>
  </si>
  <si>
    <t>CA-2024-880740</t>
  </si>
  <si>
    <t>CA-2019-508506</t>
  </si>
  <si>
    <t>CA-2021-323055</t>
  </si>
  <si>
    <t>CA-2019-312995</t>
  </si>
  <si>
    <t>CA-2024-771412</t>
  </si>
  <si>
    <t>CA-2023-834911</t>
  </si>
  <si>
    <t>CA-2024-194750</t>
  </si>
  <si>
    <t>CA-2024-159902</t>
  </si>
  <si>
    <t>CA-2021-634989</t>
  </si>
  <si>
    <t>CA-2020-231555</t>
  </si>
  <si>
    <t>CA-2019-842196</t>
  </si>
  <si>
    <t>CA-2020-379300</t>
  </si>
  <si>
    <t>CA-2024-229484</t>
  </si>
  <si>
    <t>CA-2024-928872</t>
  </si>
  <si>
    <t>CA-2022-248978</t>
  </si>
  <si>
    <t>CA-2019-356247</t>
  </si>
  <si>
    <t>CA-2022-238251</t>
  </si>
  <si>
    <t>CA-2021-203940</t>
  </si>
  <si>
    <t>CA-2021-119033</t>
  </si>
  <si>
    <t>CA-2022-149855</t>
  </si>
  <si>
    <t>CA-2019-257177</t>
  </si>
  <si>
    <t>CA-2023-148043</t>
  </si>
  <si>
    <t>CA-2021-632028</t>
  </si>
  <si>
    <t>CA-2021-712642</t>
  </si>
  <si>
    <t>CA-2023-454267</t>
  </si>
  <si>
    <t>CA-2023-386191</t>
  </si>
  <si>
    <t>CA-2024-554073</t>
  </si>
  <si>
    <t>CA-2023-887503</t>
  </si>
  <si>
    <t>CA-2023-866017</t>
  </si>
  <si>
    <t>CA-2021-139127</t>
  </si>
  <si>
    <t>CA-2021-263348</t>
  </si>
  <si>
    <t>CA-2024-313070</t>
  </si>
  <si>
    <t>CA-2019-324448</t>
  </si>
  <si>
    <t>CA-2022-614108</t>
  </si>
  <si>
    <t>CA-2024-474635</t>
  </si>
  <si>
    <t>CA-2019-144328</t>
  </si>
  <si>
    <t>CA-2018-436252</t>
  </si>
  <si>
    <t>CA-2024-571377</t>
  </si>
  <si>
    <t>CA-2024-191504</t>
  </si>
  <si>
    <t>CA-2018-850111</t>
  </si>
  <si>
    <t>CA-2018-146765</t>
  </si>
  <si>
    <t>CA-2020-932356</t>
  </si>
  <si>
    <t>CA-2022-189201</t>
  </si>
  <si>
    <t>CA-2023-859216</t>
  </si>
  <si>
    <t>CA-2023-912386</t>
  </si>
  <si>
    <t>CA-2019-981612</t>
  </si>
  <si>
    <t>CA-2020-821822</t>
  </si>
  <si>
    <t>CA-2022-801529</t>
  </si>
  <si>
    <t>CA-2022-678234</t>
  </si>
  <si>
    <t>CA-2022-801095</t>
  </si>
  <si>
    <t>CA-2023-221096</t>
  </si>
  <si>
    <t>CA-2023-582460</t>
  </si>
  <si>
    <t>CA-2020-562800</t>
  </si>
  <si>
    <t>CA-2024-871814</t>
  </si>
  <si>
    <t>CA-2023-516518</t>
  </si>
  <si>
    <t>CA-2023-446580</t>
  </si>
  <si>
    <t>CA-2022-675606</t>
  </si>
  <si>
    <t>CA-2019-339816</t>
  </si>
  <si>
    <t>CA-2018-225791</t>
  </si>
  <si>
    <t>CA-2021-530089</t>
  </si>
  <si>
    <t>CA-2019-475200</t>
  </si>
  <si>
    <t>CA-2022-309312</t>
  </si>
  <si>
    <t>CA-2020-430760</t>
  </si>
  <si>
    <t>CA-2021-429752</t>
  </si>
  <si>
    <t>CA-2023-394745</t>
  </si>
  <si>
    <t>CA-2021-441517</t>
  </si>
  <si>
    <t>CA-2019-717168</t>
  </si>
  <si>
    <t>CA-2019-367188</t>
  </si>
  <si>
    <t>CA-2023-953971</t>
  </si>
  <si>
    <t>CA-2022-924712</t>
  </si>
  <si>
    <t>CA-2023-532818</t>
  </si>
  <si>
    <t>CA-2023-395524</t>
  </si>
  <si>
    <t>CA-2021-581890</t>
  </si>
  <si>
    <t>CA-2024-863703</t>
  </si>
  <si>
    <t>CA-2021-687327</t>
  </si>
  <si>
    <t>CA-2019-823951</t>
  </si>
  <si>
    <t>CA-2021-579449</t>
  </si>
  <si>
    <t>CA-2023-669625</t>
  </si>
  <si>
    <t>CA-2018-359339</t>
  </si>
  <si>
    <t>CA-2019-761403</t>
  </si>
  <si>
    <t>CA-2018-282163</t>
  </si>
  <si>
    <t>CA-2022-725317</t>
  </si>
  <si>
    <t>CA-2021-874646</t>
  </si>
  <si>
    <t>CA-2024-218892</t>
  </si>
  <si>
    <t>CA-2024-652941</t>
  </si>
  <si>
    <t>CA-2022-185586</t>
  </si>
  <si>
    <t>CA-2022-753143</t>
  </si>
  <si>
    <t>CA-2022-176043</t>
  </si>
  <si>
    <t>CA-2021-942344</t>
  </si>
  <si>
    <t>CA-2023-223666</t>
  </si>
  <si>
    <t>CA-2024-962991</t>
  </si>
  <si>
    <t>CA-2019-820794</t>
  </si>
  <si>
    <t>CA-2020-634313</t>
  </si>
  <si>
    <t>CA-2021-804360</t>
  </si>
  <si>
    <t>CA-2024-815602</t>
  </si>
  <si>
    <t>CA-2024-951423</t>
  </si>
  <si>
    <t>CA-2018-328044</t>
  </si>
  <si>
    <t>CA-2023-631067</t>
  </si>
  <si>
    <t>CA-2018-185544</t>
  </si>
  <si>
    <t>CA-2021-654548</t>
  </si>
  <si>
    <t>CA-2019-254162</t>
  </si>
  <si>
    <t>CA-2018-608454</t>
  </si>
  <si>
    <t>CA-2018-615186</t>
  </si>
  <si>
    <t>CA-2021-519386</t>
  </si>
  <si>
    <t>CA-2022-570368</t>
  </si>
  <si>
    <t>CA-2023-787530</t>
  </si>
  <si>
    <t>CA-2024-819319</t>
  </si>
  <si>
    <t>CA-2021-542937</t>
  </si>
  <si>
    <t>CA-2019-639633</t>
  </si>
  <si>
    <t>CA-2018-938111</t>
  </si>
  <si>
    <t>CA-2023-207760</t>
  </si>
  <si>
    <t>CA-2023-205393</t>
  </si>
  <si>
    <t>Standard Class</t>
  </si>
  <si>
    <t>Same Day</t>
  </si>
  <si>
    <t>Second Class</t>
  </si>
  <si>
    <t>First Class</t>
  </si>
  <si>
    <t>Neha</t>
  </si>
  <si>
    <t>Priya</t>
  </si>
  <si>
    <t>Ravi</t>
  </si>
  <si>
    <t>Arjun</t>
  </si>
  <si>
    <t>Asha</t>
  </si>
  <si>
    <t>Vikram</t>
  </si>
  <si>
    <t>Meera</t>
  </si>
  <si>
    <t>Karthik</t>
  </si>
  <si>
    <t>Consumer</t>
  </si>
  <si>
    <t>Corporate</t>
  </si>
  <si>
    <t>Home Office</t>
  </si>
  <si>
    <t>consumer</t>
  </si>
  <si>
    <t>Kochi</t>
  </si>
  <si>
    <t>New Delhi</t>
  </si>
  <si>
    <t>Chennai</t>
  </si>
  <si>
    <t>Hyderabad</t>
  </si>
  <si>
    <t>Bengaluru</t>
  </si>
  <si>
    <t>Lucknow</t>
  </si>
  <si>
    <t>Ahmedabad</t>
  </si>
  <si>
    <t>NA</t>
  </si>
  <si>
    <t>Mumbai</t>
  </si>
  <si>
    <t>Delhi</t>
  </si>
  <si>
    <t>Maharashtra</t>
  </si>
  <si>
    <t>Gujarat</t>
  </si>
  <si>
    <t>Uttar Pradesh</t>
  </si>
  <si>
    <t>Karnataka</t>
  </si>
  <si>
    <t>Telangana</t>
  </si>
  <si>
    <t>Kerala</t>
  </si>
  <si>
    <t>North</t>
  </si>
  <si>
    <t>West</t>
  </si>
  <si>
    <t>Central</t>
  </si>
  <si>
    <t>South</t>
  </si>
  <si>
    <t>East</t>
  </si>
  <si>
    <t>Technology</t>
  </si>
  <si>
    <t>Furniture</t>
  </si>
  <si>
    <t>OfficeSupplies</t>
  </si>
  <si>
    <t>Grand Total</t>
  </si>
  <si>
    <t>Sum of Sales</t>
  </si>
  <si>
    <t>Profit Margin</t>
  </si>
  <si>
    <t>Is Loss</t>
  </si>
  <si>
    <t>Avg Order Value</t>
  </si>
  <si>
    <t>Month</t>
  </si>
  <si>
    <t>Sum of Profit</t>
  </si>
  <si>
    <t>KPI</t>
  </si>
  <si>
    <t>Value</t>
  </si>
  <si>
    <t>Total Sales</t>
  </si>
  <si>
    <t>Total Profit</t>
  </si>
  <si>
    <t>Orders</t>
  </si>
  <si>
    <t>Year  Sales</t>
  </si>
  <si>
    <t>Apr</t>
  </si>
  <si>
    <t>Aug</t>
  </si>
  <si>
    <t>Dec</t>
  </si>
  <si>
    <t>Feb</t>
  </si>
  <si>
    <t>Jan</t>
  </si>
  <si>
    <t>Jul</t>
  </si>
  <si>
    <t>Jun</t>
  </si>
  <si>
    <t>Mar</t>
  </si>
  <si>
    <t>May</t>
  </si>
  <si>
    <t>Nov</t>
  </si>
  <si>
    <t>Oct</t>
  </si>
  <si>
    <t>Sep</t>
  </si>
  <si>
    <t>Tamil Nadu</t>
  </si>
  <si>
    <t>Unknown</t>
  </si>
  <si>
    <t>Month No.</t>
  </si>
  <si>
    <t>Sum of Quantity</t>
  </si>
  <si>
    <t>Accessories</t>
  </si>
  <si>
    <t>Binders</t>
  </si>
  <si>
    <t>Chairs</t>
  </si>
  <si>
    <t>Paper</t>
  </si>
  <si>
    <t>Phones</t>
  </si>
  <si>
    <t>Tables</t>
  </si>
  <si>
    <t>Sub Category</t>
  </si>
  <si>
    <t>Sum of Profit Margin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</si>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</sst>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
  </numFmts>
  <fonts count="4" x14ac:knownFonts="1">
    <font>
      <sz val="11"/>
      <color theme="1"/>
      <name val="Calibri"/>
      <family val="2"/>
      <scheme val="minor"/>
    </font>
    <font>
      <b/>
      <sz val="11"/>
      <color theme="1"/>
      <name val="Calibri"/>
      <family val="2"/>
      <scheme val="minor"/>
    </font>
    <font>
      <sz val="11"/>
      <color theme="3"/>
      <name val="Calibri"/>
      <family val="2"/>
      <scheme val="minor"/>
    </font>
    <font>
      <b/>
      <sz val="16"/>
      <color theme="0"/>
      <name val="Aptos"/>
      <family val="2"/>
    </font>
  </fonts>
  <fills count="4">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3" fontId="0" fillId="0" borderId="0" xfId="0" applyNumberFormat="1"/>
    <xf numFmtId="164" fontId="0" fillId="0" borderId="0" xfId="0" applyNumberFormat="1"/>
    <xf numFmtId="0" fontId="1" fillId="0" borderId="1" xfId="0" applyFont="1" applyFill="1" applyBorder="1"/>
    <xf numFmtId="0" fontId="0" fillId="0" borderId="0" xfId="0" applyFill="1"/>
    <xf numFmtId="0" fontId="0" fillId="0" borderId="0" xfId="0" applyFill="1" applyAlignment="1">
      <alignment horizontal="left"/>
    </xf>
    <xf numFmtId="0" fontId="0" fillId="0" borderId="0" xfId="0" applyNumberFormat="1" applyFill="1"/>
    <xf numFmtId="0" fontId="2" fillId="2" borderId="0" xfId="0" applyFont="1" applyFill="1"/>
    <xf numFmtId="0" fontId="0" fillId="2" borderId="0" xfId="0" applyFill="1"/>
    <xf numFmtId="0" fontId="0" fillId="3" borderId="0" xfId="0" applyFill="1"/>
    <xf numFmtId="0" fontId="3" fillId="2" borderId="0" xfId="0" applyFont="1" applyFill="1"/>
    <xf numFmtId="9" fontId="0" fillId="0" borderId="0" xfId="0" applyNumberFormat="1"/>
    <xf numFmtId="165" fontId="0" fillId="0" borderId="0" xfId="0" applyNumberFormat="1"/>
  </cellXfs>
  <cellStyles count="1">
    <cellStyle name="Normal" xfId="0" builtinId="0"/>
  </cellStyles>
  <dxfs count="15">
    <dxf>
      <numFmt numFmtId="14" formatCode="0.00%"/>
    </dxf>
    <dxf>
      <numFmt numFmtId="0" formatCode="General"/>
    </dxf>
    <dxf>
      <numFmt numFmtId="0" formatCode="General"/>
    </dxf>
    <dxf>
      <numFmt numFmtId="0" formatCode="General"/>
    </dxf>
    <dxf>
      <numFmt numFmtId="0" formatCode="General"/>
    </dxf>
    <dxf>
      <numFmt numFmtId="3" formatCode="#,##0"/>
    </dxf>
    <dxf>
      <numFmt numFmtId="164" formatCode="0.0%"/>
    </dxf>
    <dxf>
      <numFmt numFmtId="1" formatCode="0"/>
    </dxf>
    <dxf>
      <numFmt numFmtId="13" formatCode="0%"/>
    </dxf>
    <dxf>
      <numFmt numFmtId="1" formatCode="0"/>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[Retail_Superstore_Raw.xlsx]Pivots!PivotTable9</c:name>
    <c:fmtId val="10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solidFill>
                  <a:sysClr val="windowText" lastClr="000000"/>
                </a:solidFill>
              </a:rPr>
              <a:t>Profit</a:t>
            </a:r>
            <a:r>
              <a:rPr lang="en-US" b="0" baseline="0">
                <a:solidFill>
                  <a:sysClr val="windowText" lastClr="000000"/>
                </a:solidFill>
              </a:rPr>
              <a:t> share by Segments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Pivots!$E$21</c:f>
              <c:strCache>
                <c:ptCount val="1"/>
                <c:pt idx="0">
                  <c:v>Sum of Quantity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C7-4D5A-8AEE-B7E66B0E1EA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C7-4D5A-8AEE-B7E66B0E1EA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C7-4D5A-8AEE-B7E66B0E1E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Pivots!$D$22:$D$25</c:f>
              <c:strCache>
                <c:ptCount val="3"/>
                <c:pt idx="0">
                  <c:v>Consumer</c:v>
                </c:pt>
                <c:pt idx="1">
                  <c:v>Corporate</c:v>
                </c:pt>
                <c:pt idx="2">
                  <c:v>Home Office</c:v>
                </c:pt>
              </c:strCache>
            </c:strRef>
          </c:cat>
          <c:val>
            <c:numRef>
              <c:f>Pivots!$E$22:$E$25</c:f>
              <c:numCache>
                <c:formatCode>General</c:formatCode>
                <c:ptCount val="3"/>
                <c:pt idx="0">
                  <c:v>652</c:v>
                </c:pt>
                <c:pt idx="1">
                  <c:v>605</c:v>
                </c:pt>
                <c:pt idx="2">
                  <c:v>367</c:v>
                </c:pt>
              </c:numCache>
            </c:numRef>
          </c:val>
          <c:extLst>
            <c:ext xmlns:c16="http://schemas.microsoft.com/office/drawing/2014/chart" uri="{C3380CC4-5D6E-409C-BE32-E72D297353CC}">
              <c16:uniqueId val="{00000006-05C7-4D5A-8AEE-B7E66B0E1EAE}"/>
            </c:ext>
          </c:extLst>
        </c:ser>
        <c:ser>
          <c:idx val="1"/>
          <c:order val="1"/>
          <c:tx>
            <c:strRef>
              <c:f>Pivots!$F$21</c:f>
              <c:strCache>
                <c:ptCount val="1"/>
                <c:pt idx="0">
                  <c:v>Sum of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05C7-4D5A-8AEE-B7E66B0E1EA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05C7-4D5A-8AEE-B7E66B0E1EA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05C7-4D5A-8AEE-B7E66B0E1E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Pivots!$D$22:$D$25</c:f>
              <c:strCache>
                <c:ptCount val="3"/>
                <c:pt idx="0">
                  <c:v>Consumer</c:v>
                </c:pt>
                <c:pt idx="1">
                  <c:v>Corporate</c:v>
                </c:pt>
                <c:pt idx="2">
                  <c:v>Home Office</c:v>
                </c:pt>
              </c:strCache>
            </c:strRef>
          </c:cat>
          <c:val>
            <c:numRef>
              <c:f>Pivots!$F$22:$F$25</c:f>
              <c:numCache>
                <c:formatCode>General</c:formatCode>
                <c:ptCount val="3"/>
                <c:pt idx="0">
                  <c:v>127120.38000000002</c:v>
                </c:pt>
                <c:pt idx="1">
                  <c:v>112824.00000000003</c:v>
                </c:pt>
                <c:pt idx="2">
                  <c:v>77442.180000000008</c:v>
                </c:pt>
              </c:numCache>
            </c:numRef>
          </c:val>
          <c:extLst>
            <c:ext xmlns:c16="http://schemas.microsoft.com/office/drawing/2014/chart" uri="{C3380CC4-5D6E-409C-BE32-E72D297353CC}">
              <c16:uniqueId val="{0000000D-05C7-4D5A-8AEE-B7E66B0E1EAE}"/>
            </c:ext>
          </c:extLst>
        </c:ser>
        <c:ser>
          <c:idx val="2"/>
          <c:order val="2"/>
          <c:tx>
            <c:strRef>
              <c:f>Pivots!$G$21</c:f>
              <c:strCache>
                <c:ptCount val="1"/>
                <c:pt idx="0">
                  <c:v>Sum of Profit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5C7-4D5A-8AEE-B7E66B0E1EA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5C7-4D5A-8AEE-B7E66B0E1EA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5C7-4D5A-8AEE-B7E66B0E1E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Pivots!$D$22:$D$25</c:f>
              <c:strCache>
                <c:ptCount val="3"/>
                <c:pt idx="0">
                  <c:v>Consumer</c:v>
                </c:pt>
                <c:pt idx="1">
                  <c:v>Corporate</c:v>
                </c:pt>
                <c:pt idx="2">
                  <c:v>Home Office</c:v>
                </c:pt>
              </c:strCache>
            </c:strRef>
          </c:cat>
          <c:val>
            <c:numRef>
              <c:f>Pivots!$G$22:$G$25</c:f>
              <c:numCache>
                <c:formatCode>General</c:formatCode>
                <c:ptCount val="3"/>
                <c:pt idx="0">
                  <c:v>39727.929999999986</c:v>
                </c:pt>
                <c:pt idx="1">
                  <c:v>42013.04</c:v>
                </c:pt>
                <c:pt idx="2">
                  <c:v>22338.890000000003</c:v>
                </c:pt>
              </c:numCache>
            </c:numRef>
          </c:val>
          <c:extLst>
            <c:ext xmlns:c16="http://schemas.microsoft.com/office/drawing/2014/chart" uri="{C3380CC4-5D6E-409C-BE32-E72D297353CC}">
              <c16:uniqueId val="{00000014-05C7-4D5A-8AEE-B7E66B0E1EA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[Retail_Superstore_Raw.xlsx]Pivots!PivotTable5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Profit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Pivots!$I$2</c:f>
              <c:strCache>
                <c:ptCount val="1"/>
                <c:pt idx="0">
                  <c:v>Total</c:v>
                </c:pt>
              </c:strCache>
            </c:strRef>
          </c:tx>
          <c:spPr>
            <a:solidFill>
              <a:schemeClr val="accent1"/>
            </a:solidFill>
            <a:ln>
              <a:noFill/>
            </a:ln>
            <a:effectLst/>
          </c:spPr>
          <c:invertIfNegative val="0"/>
          <c:cat>
            <c:strRef>
              <c:f>Pivots!$H$3:$H$11</c:f>
              <c:strCache>
                <c:ptCount val="8"/>
                <c:pt idx="0">
                  <c:v>Vikram</c:v>
                </c:pt>
                <c:pt idx="1">
                  <c:v>Ravi</c:v>
                </c:pt>
                <c:pt idx="2">
                  <c:v>Meera</c:v>
                </c:pt>
                <c:pt idx="3">
                  <c:v>Karthik</c:v>
                </c:pt>
                <c:pt idx="4">
                  <c:v>Priya</c:v>
                </c:pt>
                <c:pt idx="5">
                  <c:v>Arjun</c:v>
                </c:pt>
                <c:pt idx="6">
                  <c:v>Neha</c:v>
                </c:pt>
                <c:pt idx="7">
                  <c:v>Asha</c:v>
                </c:pt>
              </c:strCache>
            </c:strRef>
          </c:cat>
          <c:val>
            <c:numRef>
              <c:f>Pivots!$I$3:$I$11</c:f>
              <c:numCache>
                <c:formatCode>"₹"\ #,##0</c:formatCode>
                <c:ptCount val="8"/>
                <c:pt idx="0">
                  <c:v>16824.41</c:v>
                </c:pt>
                <c:pt idx="1">
                  <c:v>15982.119999999997</c:v>
                </c:pt>
                <c:pt idx="2">
                  <c:v>13231.490000000002</c:v>
                </c:pt>
                <c:pt idx="3">
                  <c:v>12564.839999999998</c:v>
                </c:pt>
                <c:pt idx="4">
                  <c:v>12121.29</c:v>
                </c:pt>
                <c:pt idx="5">
                  <c:v>12072.089999999998</c:v>
                </c:pt>
                <c:pt idx="6">
                  <c:v>11442.310000000003</c:v>
                </c:pt>
                <c:pt idx="7">
                  <c:v>9841.3100000000031</c:v>
                </c:pt>
              </c:numCache>
            </c:numRef>
          </c:val>
          <c:extLst>
            <c:ext xmlns:c16="http://schemas.microsoft.com/office/drawing/2014/chart" uri="{C3380CC4-5D6E-409C-BE32-E72D297353CC}">
              <c16:uniqueId val="{00000000-57BA-4A2F-990E-828C7203AE9A}"/>
            </c:ext>
          </c:extLst>
        </c:ser>
        <c:dLbls>
          <c:showLegendKey val="0"/>
          <c:showVal val="0"/>
          <c:showCatName val="0"/>
          <c:showSerName val="0"/>
          <c:showPercent val="0"/>
          <c:showBubbleSize val="0"/>
        </c:dLbls>
        <c:gapWidth val="182"/>
        <c:axId val="593334208"/>
        <c:axId val="593333248"/>
      </c:barChart>
      <c:catAx>
        <c:axId val="59333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33248"/>
        <c:crosses val="autoZero"/>
        <c:auto val="1"/>
        <c:lblAlgn val="ctr"/>
        <c:lblOffset val="100"/>
        <c:noMultiLvlLbl val="0"/>
      </c:catAx>
      <c:valAx>
        <c:axId val="5933332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3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[Retail_Superstore_Raw.xlsx]Pivots!PivotTable4</c:name>
    <c:fmtId val="8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Profit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c:f>
              <c:strCache>
                <c:ptCount val="1"/>
                <c:pt idx="0">
                  <c:v>Total</c:v>
                </c:pt>
              </c:strCache>
            </c:strRef>
          </c:tx>
          <c:spPr>
            <a:solidFill>
              <a:schemeClr val="accent1"/>
            </a:solidFill>
            <a:ln>
              <a:noFill/>
            </a:ln>
            <a:effectLst/>
          </c:spPr>
          <c:invertIfNegative val="0"/>
          <c:cat>
            <c:strRef>
              <c:f>Pivots!$A$19:$A$27</c:f>
              <c:strCache>
                <c:ptCount val="8"/>
                <c:pt idx="0">
                  <c:v>Karnataka</c:v>
                </c:pt>
                <c:pt idx="1">
                  <c:v>Delhi</c:v>
                </c:pt>
                <c:pt idx="2">
                  <c:v>Kerala</c:v>
                </c:pt>
                <c:pt idx="3">
                  <c:v>Gujarat</c:v>
                </c:pt>
                <c:pt idx="4">
                  <c:v>Telangana</c:v>
                </c:pt>
                <c:pt idx="5">
                  <c:v>Tamil Nadu</c:v>
                </c:pt>
                <c:pt idx="6">
                  <c:v>Maharashtra</c:v>
                </c:pt>
                <c:pt idx="7">
                  <c:v>Uttar Pradesh</c:v>
                </c:pt>
              </c:strCache>
            </c:strRef>
          </c:cat>
          <c:val>
            <c:numRef>
              <c:f>Pivots!$B$19:$B$27</c:f>
              <c:numCache>
                <c:formatCode>"₹"\ #,##0</c:formatCode>
                <c:ptCount val="8"/>
                <c:pt idx="0">
                  <c:v>8102.0800000000017</c:v>
                </c:pt>
                <c:pt idx="1">
                  <c:v>9152.17</c:v>
                </c:pt>
                <c:pt idx="2">
                  <c:v>9359.11</c:v>
                </c:pt>
                <c:pt idx="3">
                  <c:v>10680.040000000003</c:v>
                </c:pt>
                <c:pt idx="4">
                  <c:v>11882.390000000001</c:v>
                </c:pt>
                <c:pt idx="5">
                  <c:v>12153.470000000001</c:v>
                </c:pt>
                <c:pt idx="6">
                  <c:v>13090.080000000004</c:v>
                </c:pt>
                <c:pt idx="7">
                  <c:v>13258.099999999999</c:v>
                </c:pt>
              </c:numCache>
            </c:numRef>
          </c:val>
          <c:extLst>
            <c:ext xmlns:c16="http://schemas.microsoft.com/office/drawing/2014/chart" uri="{C3380CC4-5D6E-409C-BE32-E72D297353CC}">
              <c16:uniqueId val="{00000000-AE1F-46DF-B97F-763066A6047D}"/>
            </c:ext>
          </c:extLst>
        </c:ser>
        <c:dLbls>
          <c:showLegendKey val="0"/>
          <c:showVal val="0"/>
          <c:showCatName val="0"/>
          <c:showSerName val="0"/>
          <c:showPercent val="0"/>
          <c:showBubbleSize val="0"/>
        </c:dLbls>
        <c:gapWidth val="219"/>
        <c:overlap val="-27"/>
        <c:axId val="673388960"/>
        <c:axId val="205763888"/>
      </c:barChart>
      <c:catAx>
        <c:axId val="6733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63888"/>
        <c:crosses val="autoZero"/>
        <c:auto val="1"/>
        <c:lblAlgn val="ctr"/>
        <c:lblOffset val="100"/>
        <c:noMultiLvlLbl val="0"/>
      </c:catAx>
      <c:valAx>
        <c:axId val="20576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8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[Retail_Superstore_Raw.xlsx]Pivots!PivotTable6</c:name>
    <c:fmtId val="12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spPr>
          <a:ln>
            <a:solidFill>
              <a:schemeClr val="accent1"/>
            </a:solidFill>
          </a:ln>
        </c:spPr>
        <c:marker>
          <c:spPr>
            <a:ln>
              <a:solidFill>
                <a:schemeClr val="accent1"/>
              </a:solidFill>
            </a:ln>
          </c:spPr>
        </c:marker>
        <c:dLbl>
          <c:idx val="0"/>
          <c:delete val="1"/>
          <c:extLst>
            <c:ext xmlns:c15="http://schemas.microsoft.com/office/drawing/2012/chart" uri="{CE6537A1-D6FC-4f65-9D91-7224C49458BB}"/>
          </c:extLst>
        </c:dLbl>
      </c:pivotFmt>
    </c:pivotFmts>
    <c:plotArea>
      <c:layout/>
      <c:lineChart>
        <c:grouping val="standard"/>
        <c:varyColors val="0"/>
        <c:ser>
          <c:idx val="2"/>
          <c:order val="0"/>
          <c:tx>
            <c:strRef>
              <c:f>Pivots!$E$3</c:f>
              <c:strCache>
                <c:ptCount val="1"/>
                <c:pt idx="0">
                  <c:v>Sum of Sales</c:v>
                </c:pt>
              </c:strCache>
            </c:strRef>
          </c:tx>
          <c:cat>
            <c:strRef>
              <c:f>Pivots!$D$4:$D$10</c:f>
              <c:strCache>
                <c:ptCount val="6"/>
                <c:pt idx="0">
                  <c:v>Accessories</c:v>
                </c:pt>
                <c:pt idx="1">
                  <c:v>Binders</c:v>
                </c:pt>
                <c:pt idx="2">
                  <c:v>Chairs</c:v>
                </c:pt>
                <c:pt idx="3">
                  <c:v>Paper</c:v>
                </c:pt>
                <c:pt idx="4">
                  <c:v>Phones</c:v>
                </c:pt>
                <c:pt idx="5">
                  <c:v>Tables</c:v>
                </c:pt>
              </c:strCache>
            </c:strRef>
          </c:cat>
          <c:val>
            <c:numRef>
              <c:f>Pivots!$E$4:$E$10</c:f>
              <c:numCache>
                <c:formatCode>"₹"\ #,##0</c:formatCode>
                <c:ptCount val="6"/>
                <c:pt idx="0">
                  <c:v>40865.969999999994</c:v>
                </c:pt>
                <c:pt idx="1">
                  <c:v>43427.839999999982</c:v>
                </c:pt>
                <c:pt idx="2">
                  <c:v>41688.089999999997</c:v>
                </c:pt>
                <c:pt idx="3">
                  <c:v>45080.139999999992</c:v>
                </c:pt>
                <c:pt idx="4">
                  <c:v>42984.01999999999</c:v>
                </c:pt>
                <c:pt idx="5">
                  <c:v>43770.219999999994</c:v>
                </c:pt>
              </c:numCache>
            </c:numRef>
          </c:val>
          <c:smooth val="0"/>
          <c:extLst>
            <c:ext xmlns:c16="http://schemas.microsoft.com/office/drawing/2014/chart" uri="{C3380CC4-5D6E-409C-BE32-E72D297353CC}">
              <c16:uniqueId val="{00000008-8E50-4CE7-B6B5-37B65DF83646}"/>
            </c:ext>
          </c:extLst>
        </c:ser>
        <c:ser>
          <c:idx val="3"/>
          <c:order val="1"/>
          <c:tx>
            <c:strRef>
              <c:f>Pivots!$F$3</c:f>
              <c:strCache>
                <c:ptCount val="1"/>
                <c:pt idx="0">
                  <c:v>Sum of Profit</c:v>
                </c:pt>
              </c:strCache>
            </c:strRef>
          </c:tx>
          <c:spPr>
            <a:ln>
              <a:solidFill>
                <a:schemeClr val="accent1"/>
              </a:solidFill>
            </a:ln>
          </c:spPr>
          <c:marker>
            <c:spPr>
              <a:ln>
                <a:solidFill>
                  <a:schemeClr val="accent1"/>
                </a:solidFill>
              </a:ln>
            </c:spPr>
          </c:marker>
          <c:cat>
            <c:strRef>
              <c:f>Pivots!$D$4:$D$10</c:f>
              <c:strCache>
                <c:ptCount val="6"/>
                <c:pt idx="0">
                  <c:v>Accessories</c:v>
                </c:pt>
                <c:pt idx="1">
                  <c:v>Binders</c:v>
                </c:pt>
                <c:pt idx="2">
                  <c:v>Chairs</c:v>
                </c:pt>
                <c:pt idx="3">
                  <c:v>Paper</c:v>
                </c:pt>
                <c:pt idx="4">
                  <c:v>Phones</c:v>
                </c:pt>
                <c:pt idx="5">
                  <c:v>Tables</c:v>
                </c:pt>
              </c:strCache>
            </c:strRef>
          </c:cat>
          <c:val>
            <c:numRef>
              <c:f>Pivots!$F$4:$F$10</c:f>
              <c:numCache>
                <c:formatCode>General</c:formatCode>
                <c:ptCount val="6"/>
                <c:pt idx="0">
                  <c:v>13648.13</c:v>
                </c:pt>
                <c:pt idx="1">
                  <c:v>16812.68</c:v>
                </c:pt>
                <c:pt idx="2">
                  <c:v>12145.010000000002</c:v>
                </c:pt>
                <c:pt idx="3">
                  <c:v>15890.060000000005</c:v>
                </c:pt>
                <c:pt idx="4">
                  <c:v>15194.099999999999</c:v>
                </c:pt>
                <c:pt idx="5">
                  <c:v>16636.71</c:v>
                </c:pt>
              </c:numCache>
            </c:numRef>
          </c:val>
          <c:smooth val="0"/>
          <c:extLst>
            <c:ext xmlns:c16="http://schemas.microsoft.com/office/drawing/2014/chart" uri="{C3380CC4-5D6E-409C-BE32-E72D297353CC}">
              <c16:uniqueId val="{00000009-8E50-4CE7-B6B5-37B65DF83646}"/>
            </c:ext>
          </c:extLst>
        </c:ser>
        <c:dLbls>
          <c:showLegendKey val="0"/>
          <c:showVal val="0"/>
          <c:showCatName val="0"/>
          <c:showSerName val="0"/>
          <c:showPercent val="0"/>
          <c:showBubbleSize val="0"/>
        </c:dLbls>
        <c:marker val="1"/>
        <c:smooth val="0"/>
        <c:axId val="686474784"/>
        <c:axId val="686469504"/>
      </c:lineChart>
      <c:catAx>
        <c:axId val="6864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69504"/>
        <c:crosses val="autoZero"/>
        <c:auto val="1"/>
        <c:lblAlgn val="ctr"/>
        <c:lblOffset val="100"/>
        <c:noMultiLvlLbl val="0"/>
      </c:catAx>
      <c:valAx>
        <c:axId val="686469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747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373380</xdr:colOff>
      <xdr:row>13</xdr:row>
      <xdr:rowOff>152400</xdr:rowOff>
    </xdr:from>
    <xdr:to>
      <xdr:col>9</xdr:col>
      <xdr:colOff>213360</xdr:colOff>
      <xdr:row>27</xdr:row>
      <xdr:rowOff>59055</xdr:rowOff>
    </xdr:to>
    <mc:AlternateContent xmlns:mc="http://schemas.openxmlformats.org/markup-compatibility/2006" xmlns:a14="http://schemas.microsoft.com/office/drawing/2010/main">
      <mc:Choice Requires="a14">
        <xdr:graphicFrame macro="">
          <xdr:nvGraphicFramePr>
            <xdr:cNvPr id="14" name="Month 2">
              <a:extLst>
                <a:ext uri="{FF2B5EF4-FFF2-40B4-BE49-F238E27FC236}">
                  <a16:creationId xmlns:a16="http://schemas.microsoft.com/office/drawing/2014/main" id="{C41819A2-42A6-D071-8E10-4CABAFE895B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804660" y="2529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868680</xdr:colOff>
      <xdr:row>13</xdr:row>
      <xdr:rowOff>129540</xdr:rowOff>
    </xdr:from>
    <xdr:to>
      <xdr:col>13</xdr:col>
      <xdr:colOff>670560</xdr:colOff>
      <xdr:row>27</xdr:row>
      <xdr:rowOff>36195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E88F921-F740-57CF-D4CC-6962E41511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128760" y="250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30480</xdr:rowOff>
    </xdr:from>
    <xdr:to>
      <xdr:col>2</xdr:col>
      <xdr:colOff>0</xdr:colOff>
      <xdr:row>5</xdr:row>
      <xdr:rowOff>38100</xdr:rowOff>
    </xdr:to>
    <xdr:sp macro="" textlink="Pivots!K5">
      <xdr:nvSpPr>
        <xdr:cNvPr id="3" name="Rectangle 2">
          <a:extLst>
            <a:ext uri="{FF2B5EF4-FFF2-40B4-BE49-F238E27FC236}">
              <a16:creationId xmlns:a16="http://schemas.microsoft.com/office/drawing/2014/main" id="{37EB04AE-F6F8-B978-1433-E057F3FBB04F}"/>
            </a:ext>
          </a:extLst>
        </xdr:cNvPr>
        <xdr:cNvSpPr/>
      </xdr:nvSpPr>
      <xdr:spPr>
        <a:xfrm>
          <a:off x="0" y="480060"/>
          <a:ext cx="1280160" cy="5562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fld id="{D4D4B79D-23CB-4E4D-9B63-0B5DC9AD5901}" type="TxLink">
            <a:rPr lang="en-US" sz="2000" b="0" i="0" u="none" strike="noStrike">
              <a:solidFill>
                <a:srgbClr val="000000"/>
              </a:solidFill>
              <a:latin typeface="Calibri"/>
              <a:ea typeface="Calibri"/>
              <a:cs typeface="Calibri"/>
            </a:rPr>
            <a:pPr algn="l"/>
            <a:t>₹ 3,17,387</a:t>
          </a:fld>
          <a:endParaRPr lang="en-US" sz="2000"/>
        </a:p>
      </xdr:txBody>
    </xdr:sp>
    <xdr:clientData/>
  </xdr:twoCellAnchor>
  <xdr:twoCellAnchor>
    <xdr:from>
      <xdr:col>0</xdr:col>
      <xdr:colOff>556260</xdr:colOff>
      <xdr:row>8</xdr:row>
      <xdr:rowOff>0</xdr:rowOff>
    </xdr:from>
    <xdr:to>
      <xdr:col>5</xdr:col>
      <xdr:colOff>38100</xdr:colOff>
      <xdr:row>11</xdr:row>
      <xdr:rowOff>0</xdr:rowOff>
    </xdr:to>
    <xdr:sp macro="" textlink="Pivots!L5">
      <xdr:nvSpPr>
        <xdr:cNvPr id="4" name="Rectangle 3">
          <a:extLst>
            <a:ext uri="{FF2B5EF4-FFF2-40B4-BE49-F238E27FC236}">
              <a16:creationId xmlns:a16="http://schemas.microsoft.com/office/drawing/2014/main" id="{A426CA84-ED5E-48D3-9086-DBFED491E4B0}"/>
            </a:ext>
          </a:extLst>
        </xdr:cNvPr>
        <xdr:cNvSpPr/>
      </xdr:nvSpPr>
      <xdr:spPr>
        <a:xfrm>
          <a:off x="556260" y="1638300"/>
          <a:ext cx="1607820" cy="5486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4EE1B558-613C-483D-A10D-7A793ECE01A2}" type="TxLink">
            <a:rPr lang="en-US" sz="2000" b="0" i="0" u="none" strike="noStrike" baseline="0">
              <a:solidFill>
                <a:srgbClr val="000000"/>
              </a:solidFill>
              <a:latin typeface="Calibri"/>
              <a:ea typeface="Calibri"/>
              <a:cs typeface="Calibri"/>
            </a:rPr>
            <a:pPr algn="ctr"/>
            <a:t>104079.86</a:t>
          </a:fld>
          <a:endParaRPr lang="en-IN" sz="2000">
            <a:solidFill>
              <a:schemeClr val="tx1"/>
            </a:solidFill>
          </a:endParaRPr>
        </a:p>
      </xdr:txBody>
    </xdr:sp>
    <xdr:clientData/>
  </xdr:twoCellAnchor>
  <xdr:twoCellAnchor>
    <xdr:from>
      <xdr:col>0</xdr:col>
      <xdr:colOff>15240</xdr:colOff>
      <xdr:row>14</xdr:row>
      <xdr:rowOff>22860</xdr:rowOff>
    </xdr:from>
    <xdr:to>
      <xdr:col>3</xdr:col>
      <xdr:colOff>91440</xdr:colOff>
      <xdr:row>17</xdr:row>
      <xdr:rowOff>22860</xdr:rowOff>
    </xdr:to>
    <xdr:sp macro="" textlink="Pivots!M5">
      <xdr:nvSpPr>
        <xdr:cNvPr id="5" name="Rectangle 4">
          <a:extLst>
            <a:ext uri="{FF2B5EF4-FFF2-40B4-BE49-F238E27FC236}">
              <a16:creationId xmlns:a16="http://schemas.microsoft.com/office/drawing/2014/main" id="{BC27C301-5F4A-40E4-BD77-C9A393C4C7EB}"/>
            </a:ext>
          </a:extLst>
        </xdr:cNvPr>
        <xdr:cNvSpPr/>
      </xdr:nvSpPr>
      <xdr:spPr>
        <a:xfrm>
          <a:off x="15240" y="2842260"/>
          <a:ext cx="1607820" cy="5486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28EF8D3-F20D-47C7-8858-5EC98A6C0244}" type="TxLink">
            <a:rPr lang="en-US" sz="2000" b="0" i="0" u="none" strike="noStrike">
              <a:solidFill>
                <a:srgbClr val="000000"/>
              </a:solidFill>
              <a:latin typeface="Calibri"/>
              <a:ea typeface="Calibri"/>
              <a:cs typeface="Calibri"/>
            </a:rPr>
            <a:pPr algn="ctr"/>
            <a:t>334</a:t>
          </a:fld>
          <a:endParaRPr lang="en-IN" sz="2000">
            <a:solidFill>
              <a:schemeClr val="tx1"/>
            </a:solidFill>
          </a:endParaRPr>
        </a:p>
      </xdr:txBody>
    </xdr:sp>
    <xdr:clientData/>
  </xdr:twoCellAnchor>
  <xdr:twoCellAnchor>
    <xdr:from>
      <xdr:col>0</xdr:col>
      <xdr:colOff>594360</xdr:colOff>
      <xdr:row>20</xdr:row>
      <xdr:rowOff>0</xdr:rowOff>
    </xdr:from>
    <xdr:to>
      <xdr:col>5</xdr:col>
      <xdr:colOff>38100</xdr:colOff>
      <xdr:row>23</xdr:row>
      <xdr:rowOff>0</xdr:rowOff>
    </xdr:to>
    <xdr:sp macro="" textlink="Pivots!N5">
      <xdr:nvSpPr>
        <xdr:cNvPr id="9" name="Rectangle 8">
          <a:extLst>
            <a:ext uri="{FF2B5EF4-FFF2-40B4-BE49-F238E27FC236}">
              <a16:creationId xmlns:a16="http://schemas.microsoft.com/office/drawing/2014/main" id="{C33361B1-90BA-423F-8187-1AA25F3D4E48}"/>
            </a:ext>
          </a:extLst>
        </xdr:cNvPr>
        <xdr:cNvSpPr/>
      </xdr:nvSpPr>
      <xdr:spPr>
        <a:xfrm>
          <a:off x="594360" y="4000500"/>
          <a:ext cx="1569720" cy="5486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2BD3525C-F448-447F-8D4C-16C48D579851}" type="TxLink">
            <a:rPr lang="en-US" sz="2000" b="0" i="0" u="none" strike="noStrike">
              <a:solidFill>
                <a:srgbClr val="000000"/>
              </a:solidFill>
              <a:latin typeface="Calibri"/>
              <a:ea typeface="Calibri"/>
              <a:cs typeface="Calibri"/>
            </a:rPr>
            <a:pPr algn="ctr"/>
            <a:t>27671.92%</a:t>
          </a:fld>
          <a:endParaRPr lang="en-IN" sz="2000">
            <a:solidFill>
              <a:schemeClr val="tx1"/>
            </a:solidFill>
          </a:endParaRPr>
        </a:p>
      </xdr:txBody>
    </xdr:sp>
    <xdr:clientData/>
  </xdr:twoCellAnchor>
  <xdr:twoCellAnchor editAs="oneCell">
    <xdr:from>
      <xdr:col>16</xdr:col>
      <xdr:colOff>220980</xdr:colOff>
      <xdr:row>16</xdr:row>
      <xdr:rowOff>15240</xdr:rowOff>
    </xdr:from>
    <xdr:to>
      <xdr:col>24</xdr:col>
      <xdr:colOff>129540</xdr:colOff>
      <xdr:row>23</xdr:row>
      <xdr:rowOff>22860</xdr:rowOff>
    </xdr:to>
    <mc:AlternateContent xmlns:mc="http://schemas.openxmlformats.org/markup-compatibility/2006" xmlns:tsle="http://schemas.microsoft.com/office/drawing/2012/timeslicer">
      <mc:Choice Requires="tsle">
        <xdr:graphicFrame macro="">
          <xdr:nvGraphicFramePr>
            <xdr:cNvPr id="33" name="Order Date 2">
              <a:extLst>
                <a:ext uri="{FF2B5EF4-FFF2-40B4-BE49-F238E27FC236}">
                  <a16:creationId xmlns:a16="http://schemas.microsoft.com/office/drawing/2014/main" id="{F434F3B1-ADC8-46C4-9393-B7F6E73E8555}"/>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8420100" y="3200400"/>
              <a:ext cx="50063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190500</xdr:colOff>
      <xdr:row>16</xdr:row>
      <xdr:rowOff>60960</xdr:rowOff>
    </xdr:from>
    <xdr:to>
      <xdr:col>14</xdr:col>
      <xdr:colOff>0</xdr:colOff>
      <xdr:row>22</xdr:row>
      <xdr:rowOff>0</xdr:rowOff>
    </xdr:to>
    <mc:AlternateContent xmlns:mc="http://schemas.openxmlformats.org/markup-compatibility/2006" xmlns:a14="http://schemas.microsoft.com/office/drawing/2010/main">
      <mc:Choice Requires="a14">
        <xdr:graphicFrame macro="">
          <xdr:nvGraphicFramePr>
            <xdr:cNvPr id="35" name="Category 4">
              <a:extLst>
                <a:ext uri="{FF2B5EF4-FFF2-40B4-BE49-F238E27FC236}">
                  <a16:creationId xmlns:a16="http://schemas.microsoft.com/office/drawing/2014/main" id="{B42F4D7D-386A-4CB4-AA0C-CC96D3C29D7B}"/>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2674620" y="3246120"/>
              <a:ext cx="42672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167640</xdr:colOff>
      <xdr:row>0</xdr:row>
      <xdr:rowOff>114300</xdr:rowOff>
    </xdr:from>
    <xdr:to>
      <xdr:col>13</xdr:col>
      <xdr:colOff>594360</xdr:colOff>
      <xdr:row>14</xdr:row>
      <xdr:rowOff>38100</xdr:rowOff>
    </xdr:to>
    <xdr:graphicFrame macro="">
      <xdr:nvGraphicFramePr>
        <xdr:cNvPr id="16" name="Chart 15">
          <a:extLst>
            <a:ext uri="{FF2B5EF4-FFF2-40B4-BE49-F238E27FC236}">
              <a16:creationId xmlns:a16="http://schemas.microsoft.com/office/drawing/2014/main" id="{A5C5EE27-4EF9-486D-9C5E-D29A61FCE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24</xdr:row>
      <xdr:rowOff>53340</xdr:rowOff>
    </xdr:from>
    <xdr:to>
      <xdr:col>14</xdr:col>
      <xdr:colOff>15240</xdr:colOff>
      <xdr:row>39</xdr:row>
      <xdr:rowOff>53340</xdr:rowOff>
    </xdr:to>
    <xdr:graphicFrame macro="">
      <xdr:nvGraphicFramePr>
        <xdr:cNvPr id="7" name="Chart 6">
          <a:extLst>
            <a:ext uri="{FF2B5EF4-FFF2-40B4-BE49-F238E27FC236}">
              <a16:creationId xmlns:a16="http://schemas.microsoft.com/office/drawing/2014/main" id="{0AF6C2A0-3883-471C-84F2-448FDC31D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167640</xdr:colOff>
      <xdr:row>24</xdr:row>
      <xdr:rowOff>106680</xdr:rowOff>
    </xdr:from>
    <xdr:to>
      <xdr:col>24</xdr:col>
      <xdr:colOff>190500</xdr:colOff>
      <xdr:row>39</xdr:row>
      <xdr:rowOff>106680</xdr:rowOff>
    </xdr:to>
    <xdr:graphicFrame macro="">
      <xdr:nvGraphicFramePr>
        <xdr:cNvPr id="11" name="Chart 10">
          <a:extLst>
            <a:ext uri="{FF2B5EF4-FFF2-40B4-BE49-F238E27FC236}">
              <a16:creationId xmlns:a16="http://schemas.microsoft.com/office/drawing/2014/main" id="{4FC4B3EA-5901-496C-B9E8-8AD0C4D3F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220980</xdr:colOff>
      <xdr:row>1</xdr:row>
      <xdr:rowOff>7620</xdr:rowOff>
    </xdr:from>
    <xdr:to>
      <xdr:col>24</xdr:col>
      <xdr:colOff>60960</xdr:colOff>
      <xdr:row>14</xdr:row>
      <xdr:rowOff>114300</xdr:rowOff>
    </xdr:to>
    <xdr:graphicFrame macro="">
      <xdr:nvGraphicFramePr>
        <xdr:cNvPr id="13" name="Chart 12">
          <a:extLst>
            <a:ext uri="{FF2B5EF4-FFF2-40B4-BE49-F238E27FC236}">
              <a16:creationId xmlns:a16="http://schemas.microsoft.com/office/drawing/2014/main" id="{173A6CFA-E0F7-4824-BB7F-CB0F6CB85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205740</xdr:colOff>
      <xdr:row>24</xdr:row>
      <xdr:rowOff>175261</xdr:rowOff>
    </xdr:from>
    <xdr:to>
      <xdr:col>3</xdr:col>
      <xdr:colOff>502920</xdr:colOff>
      <xdr:row>36</xdr:row>
      <xdr:rowOff>106681</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04B64505-F015-49CB-A3A0-8A45A79297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5740" y="4877603"/>
              <a:ext cx="1831206" cy="2097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213360</xdr:colOff>
      <xdr:row>9</xdr:row>
      <xdr:rowOff>106680</xdr:rowOff>
    </xdr:from>
    <xdr:ext cx="184731" cy="264560"/>
    <xdr:sp macro="" textlink="">
      <xdr:nvSpPr>
        <xdr:cNvPr id="19" name="TextBox 18">
          <a:extLst>
            <a:ext uri="{FF2B5EF4-FFF2-40B4-BE49-F238E27FC236}">
              <a16:creationId xmlns:a16="http://schemas.microsoft.com/office/drawing/2014/main" id="{C4A4DFA7-D0CE-FC28-F40A-070F3C1CCE71}"/>
            </a:ext>
          </a:extLst>
        </xdr:cNvPr>
        <xdr:cNvSpPr txBox="1"/>
      </xdr:nvSpPr>
      <xdr:spPr>
        <a:xfrm>
          <a:off x="1097280" y="1927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7.906772916664" createdVersion="8" refreshedVersion="8" minRefreshableVersion="3" recordCount="334" xr:uid="{A8AE34C6-1737-4FA2-8B50-F0338D5983EE}">
  <cacheSource type="worksheet">
    <worksheetSource name="Table1_2"/>
  </cacheSource>
  <cacheFields count="21">
    <cacheField name="Order ID" numFmtId="0">
      <sharedItems count="334">
        <s v="CA-2020-840484"/>
        <s v="CA-2021-499072"/>
        <s v="CA-2021-304514"/>
        <s v="CA-2018-599125"/>
        <s v="CA-2024-157435"/>
        <s v="CA-2024-844867"/>
        <s v="CA-2019-668497"/>
        <s v="CA-2019-782278"/>
        <s v="CA-2022-419073"/>
        <s v="CA-2018-973627"/>
        <s v="CA-2021-903808"/>
        <s v="CA-2022-800544"/>
        <s v="CA-2023-275174"/>
        <s v="CA-2020-520048"/>
        <s v="CA-2021-139423"/>
        <s v="CA-2021-238860"/>
        <s v="CA-2023-714743"/>
        <s v="CA-2024-770285"/>
        <s v="CA-2020-970757"/>
        <s v="CA-2020-393242"/>
        <s v="CA-2024-433413"/>
        <s v="CA-2023-279917"/>
        <s v="CA-2023-106626"/>
        <s v="CA-2023-808231"/>
        <s v="CA-2023-698365"/>
        <s v="CA-2021-734648"/>
        <s v="CA-2019-802655"/>
        <s v="CA-2021-513023"/>
        <s v="CA-2021-611866"/>
        <s v="CA-2018-225817"/>
        <s v="CA-2019-203076"/>
        <s v="CA-2021-701561"/>
        <s v="CA-2022-523986"/>
        <s v="CA-2023-608711"/>
        <s v="CA-2018-788498"/>
        <s v="CA-2022-671245"/>
        <s v="CA-2021-598220"/>
        <s v="CA-2018-603285"/>
        <s v="CA-2023-373554"/>
        <s v="CA-2022-127736"/>
        <s v="CA-2020-493045"/>
        <s v="CA-2024-293125"/>
        <s v="CA-2019-467675"/>
        <s v="CA-2024-868061"/>
        <s v="CA-2018-310545"/>
        <s v="CA-2023-152472"/>
        <s v="CA-2023-353245"/>
        <s v="CA-2024-364234"/>
        <s v="CA-2021-695724"/>
        <s v="CA-2018-601328"/>
        <s v="CA-2021-805507"/>
        <s v="CA-2024-697881"/>
        <s v="CA-2020-465747"/>
        <s v="CA-2020-832617"/>
        <s v="CA-2020-250275"/>
        <s v="CA-2020-120440"/>
        <s v="CA-2018-181042"/>
        <s v="CA-2023-750122"/>
        <s v="CA-2022-515689"/>
        <s v="CA-2023-245144"/>
        <s v="CA-2024-550939"/>
        <s v="CA-2024-237080"/>
        <s v="CA-2021-726687"/>
        <s v="CA-2021-501540"/>
        <s v="CA-2019-442918"/>
        <s v="CA-2019-371360"/>
        <s v="CA-2022-667253"/>
        <s v="CA-2022-425630"/>
        <s v="CA-2024-178884"/>
        <s v="CA-2020-206205"/>
        <s v="CA-2020-965706"/>
        <s v="CA-2020-917721"/>
        <s v="CA-2021-729735"/>
        <s v="CA-2021-339282"/>
        <s v="CA-2023-972257"/>
        <s v="CA-2019-800875"/>
        <s v="CA-2019-745200"/>
        <s v="CA-2023-504424"/>
        <s v="CA-2023-345017"/>
        <s v="CA-2018-186751"/>
        <s v="CA-2021-912341"/>
        <s v="CA-2018-510198"/>
        <s v="CA-2022-282126"/>
        <s v="CA-2023-375360"/>
        <s v="CA-2023-621297"/>
        <s v="CA-2021-259095"/>
        <s v="CA-2021-870951"/>
        <s v="CA-2018-782666"/>
        <s v="CA-2021-747515"/>
        <s v="CA-2022-488883"/>
        <s v="CA-2020-664577"/>
        <s v="CA-2018-625687"/>
        <s v="CA-2018-684861"/>
        <s v="CA-2022-175999"/>
        <s v="CA-2023-474226"/>
        <s v="CA-2023-137452"/>
        <s v="CA-2019-544591"/>
        <s v="CA-2019-396874"/>
        <s v="CA-2022-230071"/>
        <s v="CA-2022-193062"/>
        <s v="CA-2019-628879"/>
        <s v="CA-2023-253533"/>
        <s v="CA-2020-932607"/>
        <s v="CA-2024-622954"/>
        <s v="CA-2021-412182"/>
        <s v="CA-2022-631823"/>
        <s v="CA-2020-120523"/>
        <s v="CA-2019-962702"/>
        <s v="CA-2020-534072"/>
        <s v="CA-2021-804460"/>
        <s v="CA-2018-174456"/>
        <s v="CA-2019-537992"/>
        <s v="CA-2022-541635"/>
        <s v="CA-2021-944042"/>
        <s v="CA-2019-614554"/>
        <s v="CA-2021-526139"/>
        <s v="CA-2023-340277"/>
        <s v="CA-2024-398411"/>
        <s v="CA-2021-568604"/>
        <s v="CA-2023-495019"/>
        <s v="CA-2019-119450"/>
        <s v="CA-2020-843661"/>
        <s v="CA-2018-906543"/>
        <s v="CA-2021-226224"/>
        <s v="CA-2020-598631"/>
        <s v="CA-2020-197718"/>
        <s v="CA-2022-705015"/>
        <s v="CA-2018-353110"/>
        <s v="CA-2019-693479"/>
        <s v="CA-2023-754294"/>
        <s v="CA-2024-791781"/>
        <s v="CA-2020-196966"/>
        <s v="CA-2022-924409"/>
        <s v="CA-2024-307192"/>
        <s v="CA-2019-133671"/>
        <s v="CA-2018-599366"/>
        <s v="CA-2021-433829"/>
        <s v="CA-2020-846809"/>
        <s v="CA-2021-827425"/>
        <s v="CA-2024-385424"/>
        <s v="CA-2019-957608"/>
        <s v="CA-2022-361825"/>
        <s v="CA-2022-563550"/>
        <s v="CA-2024-330368"/>
        <s v="CA-2024-942438"/>
        <s v="CA-2019-248146"/>
        <s v="CA-2021-140419"/>
        <s v="CA-2020-491586"/>
        <s v="CA-2024-993137"/>
        <s v="CA-2019-902508"/>
        <s v="CA-2018-773746"/>
        <s v="CA-2023-901712"/>
        <s v="CA-2019-904101"/>
        <s v="CA-2018-566972"/>
        <s v="CA-2021-384335"/>
        <s v="CA-2018-794810"/>
        <s v="CA-2020-695494"/>
        <s v="CA-2020-436291"/>
        <s v="CA-2024-185019"/>
        <s v="CA-2023-772109"/>
        <s v="CA-2020-336214"/>
        <s v="CA-2018-943130"/>
        <s v="CA-2024-316873"/>
        <s v="CA-2018-210482"/>
        <s v="CA-2018-848000"/>
        <s v="CA-2024-237955"/>
        <s v="CA-2023-261341"/>
        <s v="CA-2020-639443"/>
        <s v="CA-2023-887104"/>
        <s v="CA-2018-276791"/>
        <s v="CA-2019-379290"/>
        <s v="CA-2024-799663"/>
        <s v="CA-2020-974642"/>
        <s v="CA-2021-550666"/>
        <s v="CA-2021-229507"/>
        <s v="CA-2024-112542"/>
        <s v="CA-2019-306690"/>
        <s v="CA-2019-218639"/>
        <s v="CA-2018-709892"/>
        <s v="CA-2024-209649"/>
        <s v="CA-2020-555696"/>
        <s v="CA-2024-724835"/>
        <s v="CA-2023-623004"/>
        <s v="CA-2020-279797"/>
        <s v="CA-2024-823711"/>
        <s v="CA-2018-743865"/>
        <s v="CA-2018-765084"/>
        <s v="CA-2023-217951"/>
        <s v="CA-2021-211378"/>
        <s v="CA-2021-934805"/>
        <s v="CA-2018-457819"/>
        <s v="CA-2024-370853"/>
        <s v="CA-2018-539725"/>
        <s v="CA-2021-696577"/>
        <s v="CA-2020-960059"/>
        <s v="CA-2021-357801"/>
        <s v="CA-2024-932326"/>
        <s v="CA-2021-122373"/>
        <s v="CA-2022-599677"/>
        <s v="CA-2019-670576"/>
        <s v="CA-2023-195307"/>
        <s v="CA-2023-226305"/>
        <s v="CA-2023-477202"/>
        <s v="CA-2018-969607"/>
        <s v="CA-2019-636437"/>
        <s v="CA-2019-939719"/>
        <s v="CA-2023-823924"/>
        <s v="CA-2021-520642"/>
        <s v="CA-2022-806286"/>
        <s v="CA-2023-116053"/>
        <s v="CA-2022-198229"/>
        <s v="CA-2020-846484"/>
        <s v="CA-2019-817134"/>
        <s v="CA-2021-309376"/>
        <s v="CA-2020-577692"/>
        <s v="CA-2023-645413"/>
        <s v="CA-2024-880964"/>
        <s v="CA-2023-642795"/>
        <s v="CA-2020-471313"/>
        <s v="CA-2018-436765"/>
        <s v="CA-2024-483293"/>
        <s v="CA-2018-686737"/>
        <s v="CA-2024-880740"/>
        <s v="CA-2019-508506"/>
        <s v="CA-2021-323055"/>
        <s v="CA-2019-312995"/>
        <s v="CA-2024-771412"/>
        <s v="CA-2023-834911"/>
        <s v="CA-2024-194750"/>
        <s v="CA-2024-159902"/>
        <s v="CA-2021-634989"/>
        <s v="CA-2020-231555"/>
        <s v="CA-2019-842196"/>
        <s v="CA-2020-379300"/>
        <s v="CA-2024-229484"/>
        <s v="CA-2024-928872"/>
        <s v="CA-2022-248978"/>
        <s v="CA-2019-356247"/>
        <s v="CA-2022-238251"/>
        <s v="CA-2021-203940"/>
        <s v="CA-2021-119033"/>
        <s v="CA-2022-149855"/>
        <s v="CA-2019-257177"/>
        <s v="CA-2023-148043"/>
        <s v="CA-2021-632028"/>
        <s v="CA-2021-712642"/>
        <s v="CA-2023-454267"/>
        <s v="CA-2023-386191"/>
        <s v="CA-2024-554073"/>
        <s v="CA-2023-887503"/>
        <s v="CA-2023-866017"/>
        <s v="CA-2021-139127"/>
        <s v="CA-2021-263348"/>
        <s v="CA-2024-313070"/>
        <s v="CA-2019-324448"/>
        <s v="CA-2022-614108"/>
        <s v="CA-2024-474635"/>
        <s v="CA-2019-144328"/>
        <s v="CA-2018-436252"/>
        <s v="CA-2024-571377"/>
        <s v="CA-2024-191504"/>
        <s v="CA-2018-850111"/>
        <s v="CA-2018-146765"/>
        <s v="CA-2020-932356"/>
        <s v="CA-2022-189201"/>
        <s v="CA-2023-859216"/>
        <s v="CA-2023-912386"/>
        <s v="CA-2019-981612"/>
        <s v="CA-2020-821822"/>
        <s v="CA-2022-801529"/>
        <s v="CA-2022-678234"/>
        <s v="CA-2022-801095"/>
        <s v="CA-2023-221096"/>
        <s v="CA-2023-582460"/>
        <s v="CA-2020-562800"/>
        <s v="CA-2024-871814"/>
        <s v="CA-2023-516518"/>
        <s v="CA-2023-446580"/>
        <s v="CA-2022-675606"/>
        <s v="CA-2019-339816"/>
        <s v="CA-2018-225791"/>
        <s v="CA-2021-530089"/>
        <s v="CA-2019-475200"/>
        <s v="CA-2022-309312"/>
        <s v="CA-2020-430760"/>
        <s v="CA-2021-429752"/>
        <s v="CA-2023-394745"/>
        <s v="CA-2021-441517"/>
        <s v="CA-2019-717168"/>
        <s v="CA-2019-367188"/>
        <s v="CA-2023-953971"/>
        <s v="CA-2022-924712"/>
        <s v="CA-2023-532818"/>
        <s v="CA-2023-395524"/>
        <s v="CA-2021-581890"/>
        <s v="CA-2024-863703"/>
        <s v="CA-2021-687327"/>
        <s v="CA-2019-823951"/>
        <s v="CA-2021-579449"/>
        <s v="CA-2023-669625"/>
        <s v="CA-2018-359339"/>
        <s v="CA-2019-761403"/>
        <s v="CA-2018-282163"/>
        <s v="CA-2022-725317"/>
        <s v="CA-2021-874646"/>
        <s v="CA-2024-218892"/>
        <s v="CA-2024-652941"/>
        <s v="CA-2022-185586"/>
        <s v="CA-2022-753143"/>
        <s v="CA-2022-176043"/>
        <s v="CA-2021-942344"/>
        <s v="CA-2023-223666"/>
        <s v="CA-2024-962991"/>
        <s v="CA-2019-820794"/>
        <s v="CA-2020-634313"/>
        <s v="CA-2021-804360"/>
        <s v="CA-2024-815602"/>
        <s v="CA-2024-951423"/>
        <s v="CA-2018-328044"/>
        <s v="CA-2023-631067"/>
        <s v="CA-2018-185544"/>
        <s v="CA-2021-654548"/>
        <s v="CA-2019-254162"/>
        <s v="CA-2018-608454"/>
        <s v="CA-2018-615186"/>
        <s v="CA-2021-519386"/>
        <s v="CA-2022-570368"/>
        <s v="CA-2023-787530"/>
        <s v="CA-2024-819319"/>
        <s v="CA-2021-542937"/>
        <s v="CA-2019-639633"/>
        <s v="CA-2018-938111"/>
        <s v="CA-2023-207760"/>
        <s v="CA-2023-205393"/>
      </sharedItems>
    </cacheField>
    <cacheField name="Order Date" numFmtId="14">
      <sharedItems containsSemiMixedTypes="0" containsNonDate="0" containsDate="1" containsString="0" minDate="2021-01-02T00:00:00" maxDate="2023-12-10T00:00:00" count="293">
        <d v="2022-11-03T00:00:00"/>
        <d v="2023-06-22T00:00:00"/>
        <d v="2021-09-25T00:00:00"/>
        <d v="2023-02-27T00:00:00"/>
        <d v="2022-04-16T00:00:00"/>
        <d v="2021-07-05T00:00:00"/>
        <d v="2021-06-21T00:00:00"/>
        <d v="2022-07-17T00:00:00"/>
        <d v="2021-11-16T00:00:00"/>
        <d v="2021-04-12T00:00:00"/>
        <d v="2022-03-04T00:00:00"/>
        <d v="2022-10-15T00:00:00"/>
        <d v="2021-11-15T00:00:00"/>
        <d v="2023-08-14T00:00:00"/>
        <d v="2023-02-19T00:00:00"/>
        <d v="2022-05-28T00:00:00"/>
        <d v="2023-07-24T00:00:00"/>
        <d v="2022-03-09T00:00:00"/>
        <d v="2021-05-20T00:00:00"/>
        <d v="2021-02-05T00:00:00"/>
        <d v="2023-07-28T00:00:00"/>
        <d v="2021-02-20T00:00:00"/>
        <d v="2023-05-02T00:00:00"/>
        <d v="2021-04-22T00:00:00"/>
        <d v="2022-09-28T00:00:00"/>
        <d v="2022-01-20T00:00:00"/>
        <d v="2023-02-17T00:00:00"/>
        <d v="2021-03-02T00:00:00"/>
        <d v="2023-06-17T00:00:00"/>
        <d v="2022-11-30T00:00:00"/>
        <d v="2022-03-26T00:00:00"/>
        <d v="2021-07-27T00:00:00"/>
        <d v="2023-09-05T00:00:00"/>
        <d v="2021-10-30T00:00:00"/>
        <d v="2022-05-06T00:00:00"/>
        <d v="2022-01-30T00:00:00"/>
        <d v="2021-08-19T00:00:00"/>
        <d v="2022-02-21T00:00:00"/>
        <d v="2021-06-01T00:00:00"/>
        <d v="2021-01-02T00:00:00"/>
        <d v="2021-10-17T00:00:00"/>
        <d v="2021-04-23T00:00:00"/>
        <d v="2022-02-19T00:00:00"/>
        <d v="2023-05-13T00:00:00"/>
        <d v="2021-06-12T00:00:00"/>
        <d v="2022-05-24T00:00:00"/>
        <d v="2021-02-10T00:00:00"/>
        <d v="2022-05-05T00:00:00"/>
        <d v="2021-01-30T00:00:00"/>
        <d v="2021-11-30T00:00:00"/>
        <d v="2022-02-15T00:00:00"/>
        <d v="2022-03-08T00:00:00"/>
        <d v="2022-06-07T00:00:00"/>
        <d v="2023-02-20T00:00:00"/>
        <d v="2022-04-13T00:00:00"/>
        <d v="2023-04-22T00:00:00"/>
        <d v="2022-06-14T00:00:00"/>
        <d v="2021-09-18T00:00:00"/>
        <d v="2021-08-18T00:00:00"/>
        <d v="2021-11-19T00:00:00"/>
        <d v="2022-08-21T00:00:00"/>
        <d v="2021-08-31T00:00:00"/>
        <d v="2023-07-04T00:00:00"/>
        <d v="2022-04-25T00:00:00"/>
        <d v="2023-05-14T00:00:00"/>
        <d v="2022-11-15T00:00:00"/>
        <d v="2021-08-17T00:00:00"/>
        <d v="2023-01-14T00:00:00"/>
        <d v="2021-11-27T00:00:00"/>
        <d v="2021-09-04T00:00:00"/>
        <d v="2023-07-20T00:00:00"/>
        <d v="2022-04-28T00:00:00"/>
        <d v="2021-02-18T00:00:00"/>
        <d v="2022-05-10T00:00:00"/>
        <d v="2022-04-06T00:00:00"/>
        <d v="2022-12-13T00:00:00"/>
        <d v="2021-07-11T00:00:00"/>
        <d v="2021-05-31T00:00:00"/>
        <d v="2022-08-27T00:00:00"/>
        <d v="2021-02-17T00:00:00"/>
        <d v="2021-05-19T00:00:00"/>
        <d v="2021-01-21T00:00:00"/>
        <d v="2023-07-08T00:00:00"/>
        <d v="2021-03-31T00:00:00"/>
        <d v="2021-01-10T00:00:00"/>
        <d v="2023-07-22T00:00:00"/>
        <d v="2021-07-08T00:00:00"/>
        <d v="2023-03-28T00:00:00"/>
        <d v="2021-02-01T00:00:00"/>
        <d v="2021-06-03T00:00:00"/>
        <d v="2021-04-21T00:00:00"/>
        <d v="2022-12-08T00:00:00"/>
        <d v="2022-09-13T00:00:00"/>
        <d v="2022-04-21T00:00:00"/>
        <d v="2021-08-30T00:00:00"/>
        <d v="2021-03-30T00:00:00"/>
        <d v="2022-07-24T00:00:00"/>
        <d v="2022-08-14T00:00:00"/>
        <d v="2022-11-19T00:00:00"/>
        <d v="2023-04-30T00:00:00"/>
        <d v="2022-05-09T00:00:00"/>
        <d v="2021-01-05T00:00:00"/>
        <d v="2021-08-10T00:00:00"/>
        <d v="2023-04-05T00:00:00"/>
        <d v="2022-06-18T00:00:00"/>
        <d v="2022-09-12T00:00:00"/>
        <d v="2022-04-03T00:00:00"/>
        <d v="2023-06-16T00:00:00"/>
        <d v="2023-02-12T00:00:00"/>
        <d v="2023-09-23T00:00:00"/>
        <d v="2023-05-06T00:00:00"/>
        <d v="2021-10-19T00:00:00"/>
        <d v="2021-09-12T00:00:00"/>
        <d v="2021-09-06T00:00:00"/>
        <d v="2022-07-11T00:00:00"/>
        <d v="2022-03-31T00:00:00"/>
        <d v="2023-08-27T00:00:00"/>
        <d v="2023-06-29T00:00:00"/>
        <d v="2023-12-09T00:00:00"/>
        <d v="2021-03-21T00:00:00"/>
        <d v="2021-12-28T00:00:00"/>
        <d v="2023-01-05T00:00:00"/>
        <d v="2023-03-25T00:00:00"/>
        <d v="2021-05-29T00:00:00"/>
        <d v="2022-07-03T00:00:00"/>
        <d v="2023-03-11T00:00:00"/>
        <d v="2022-08-24T00:00:00"/>
        <d v="2021-10-24T00:00:00"/>
        <d v="2021-05-08T00:00:00"/>
        <d v="2022-05-31T00:00:00"/>
        <d v="2021-11-14T00:00:00"/>
        <d v="2023-04-04T00:00:00"/>
        <d v="2021-03-20T00:00:00"/>
        <d v="2023-05-12T00:00:00"/>
        <d v="2023-01-06T00:00:00"/>
        <d v="2021-12-13T00:00:00"/>
        <d v="2022-01-19T00:00:00"/>
        <d v="2021-01-20T00:00:00"/>
        <d v="2022-12-04T00:00:00"/>
        <d v="2021-06-15T00:00:00"/>
        <d v="2022-10-22T00:00:00"/>
        <d v="2022-12-27T00:00:00"/>
        <d v="2023-04-26T00:00:00"/>
        <d v="2022-12-10T00:00:00"/>
        <d v="2021-10-29T00:00:00"/>
        <d v="2023-01-09T00:00:00"/>
        <d v="2023-04-06T00:00:00"/>
        <d v="2021-05-05T00:00:00"/>
        <d v="2023-10-06T00:00:00"/>
        <d v="2021-05-28T00:00:00"/>
        <d v="2022-08-17T00:00:00"/>
        <d v="2021-08-25T00:00:00"/>
        <d v="2021-05-07T00:00:00"/>
        <d v="2023-02-16T00:00:00"/>
        <d v="2021-05-24T00:00:00"/>
        <d v="2022-11-02T00:00:00"/>
        <d v="2022-11-25T00:00:00"/>
        <d v="2021-06-22T00:00:00"/>
        <d v="2023-03-06T00:00:00"/>
        <d v="2022-05-23T00:00:00"/>
        <d v="2021-05-02T00:00:00"/>
        <d v="2023-09-19T00:00:00"/>
        <d v="2021-09-22T00:00:00"/>
        <d v="2023-07-14T00:00:00"/>
        <d v="2021-01-17T00:00:00"/>
        <d v="2022-08-07T00:00:00"/>
        <d v="2023-09-21T00:00:00"/>
        <d v="2022-08-01T00:00:00"/>
        <d v="2022-08-08T00:00:00"/>
        <d v="2022-01-24T00:00:00"/>
        <d v="2022-07-27T00:00:00"/>
        <d v="2021-04-02T00:00:00"/>
        <d v="2023-05-31T00:00:00"/>
        <d v="2022-02-20T00:00:00"/>
        <d v="2022-06-21T00:00:00"/>
        <d v="2022-09-14T00:00:00"/>
        <d v="2021-07-02T00:00:00"/>
        <d v="2021-10-01T00:00:00"/>
        <d v="2022-12-23T00:00:00"/>
        <d v="2022-03-24T00:00:00"/>
        <d v="2022-08-18T00:00:00"/>
        <d v="2021-05-13T00:00:00"/>
        <d v="2021-10-22T00:00:00"/>
        <d v="2021-10-12T00:00:00"/>
        <d v="2022-10-26T00:00:00"/>
        <d v="2023-09-04T00:00:00"/>
        <d v="2023-04-17T00:00:00"/>
        <d v="2021-07-09T00:00:00"/>
        <d v="2021-01-19T00:00:00"/>
        <d v="2021-02-21T00:00:00"/>
        <d v="2022-08-19T00:00:00"/>
        <d v="2021-06-06T00:00:00"/>
        <d v="2021-08-20T00:00:00"/>
        <d v="2023-04-28T00:00:00"/>
        <d v="2023-05-24T00:00:00"/>
        <d v="2023-04-20T00:00:00"/>
        <d v="2021-09-11T00:00:00"/>
        <d v="2022-12-09T00:00:00"/>
        <d v="2022-09-03T00:00:00"/>
        <d v="2022-07-08T00:00:00"/>
        <d v="2022-06-10T00:00:00"/>
        <d v="2022-02-01T00:00:00"/>
        <d v="2023-01-22T00:00:00"/>
        <d v="2022-11-09T00:00:00"/>
        <d v="2022-06-17T00:00:00"/>
        <d v="2023-02-03T00:00:00"/>
        <d v="2022-07-21T00:00:00"/>
        <d v="2023-01-29T00:00:00"/>
        <d v="2022-12-19T00:00:00"/>
        <d v="2023-11-09T00:00:00"/>
        <d v="2021-05-30T00:00:00"/>
        <d v="2022-02-24T00:00:00"/>
        <d v="2022-05-30T00:00:00"/>
        <d v="2023-01-08T00:00:00"/>
        <d v="2021-01-13T00:00:00"/>
        <d v="2023-03-08T00:00:00"/>
        <d v="2021-12-25T00:00:00"/>
        <d v="2022-06-05T00:00:00"/>
        <d v="2022-05-03T00:00:00"/>
        <d v="2022-02-12T00:00:00"/>
        <d v="2023-07-29T00:00:00"/>
        <d v="2021-05-04T00:00:00"/>
        <d v="2023-06-09T00:00:00"/>
        <d v="2022-10-20T00:00:00"/>
        <d v="2022-01-31T00:00:00"/>
        <d v="2021-06-10T00:00:00"/>
        <d v="2022-11-14T00:00:00"/>
        <d v="2022-04-14T00:00:00"/>
        <d v="2021-12-26T00:00:00"/>
        <d v="2023-08-20T00:00:00"/>
        <d v="2021-09-23T00:00:00"/>
        <d v="2021-06-28T00:00:00"/>
        <d v="2022-11-13T00:00:00"/>
        <d v="2021-07-19T00:00:00"/>
        <d v="2023-07-09T00:00:00"/>
        <d v="2023-05-09T00:00:00"/>
        <d v="2023-09-11T00:00:00"/>
        <d v="2023-07-02T00:00:00"/>
        <d v="2021-09-01T00:00:00"/>
        <d v="2021-01-08T00:00:00"/>
        <d v="2021-12-09T00:00:00"/>
        <d v="2022-04-15T00:00:00"/>
        <d v="2023-05-30T00:00:00"/>
        <d v="2023-01-04T00:00:00"/>
        <d v="2022-07-10T00:00:00"/>
        <d v="2023-05-29T00:00:00"/>
        <d v="2022-10-08T00:00:00"/>
        <d v="2022-01-15T00:00:00"/>
        <d v="2022-02-18T00:00:00"/>
        <d v="2022-02-06T00:00:00"/>
        <d v="2023-01-12T00:00:00"/>
        <d v="2023-01-02T00:00:00"/>
        <d v="2023-02-22T00:00:00"/>
        <d v="2023-08-08T00:00:00"/>
        <d v="2022-03-21T00:00:00"/>
        <d v="2021-04-15T00:00:00"/>
        <d v="2023-02-18T00:00:00"/>
        <d v="2023-06-23T00:00:00"/>
        <d v="2022-12-01T00:00:00"/>
        <d v="2023-05-16T00:00:00"/>
        <d v="2023-03-10T00:00:00"/>
        <d v="2022-05-18T00:00:00"/>
        <d v="2021-04-10T00:00:00"/>
        <d v="2021-01-04T00:00:00"/>
        <d v="2021-07-24T00:00:00"/>
        <d v="2022-04-01T00:00:00"/>
        <d v="2021-01-24T00:00:00"/>
        <d v="2021-07-30T00:00:00"/>
        <d v="2023-09-07T00:00:00"/>
        <d v="2023-09-16T00:00:00"/>
        <d v="2022-01-13T00:00:00"/>
        <d v="2023-03-16T00:00:00"/>
        <d v="2022-12-21T00:00:00"/>
        <d v="2023-07-21T00:00:00"/>
        <d v="2023-06-07T00:00:00"/>
        <d v="2022-09-21T00:00:00"/>
        <d v="2022-09-19T00:00:00"/>
        <d v="2021-12-15T00:00:00"/>
        <d v="2022-09-01T00:00:00"/>
        <d v="2022-07-26T00:00:00"/>
        <d v="2022-08-04T00:00:00"/>
        <d v="2022-02-14T00:00:00"/>
        <d v="2021-01-11T00:00:00"/>
        <d v="2022-08-25T00:00:00"/>
        <d v="2022-07-30T00:00:00"/>
        <d v="2023-07-25T00:00:00"/>
        <d v="2022-05-20T00:00:00"/>
        <d v="2021-09-03T00:00:00"/>
        <d v="2021-07-16T00:00:00"/>
        <d v="2021-12-05T00:00:00"/>
        <d v="2021-12-29T00:00:00"/>
        <d v="2023-02-08T00:00:00"/>
        <d v="2021-05-12T00:00:00"/>
      </sharedItems>
    </cacheField>
    <cacheField name="Ship Date" numFmtId="14">
      <sharedItems containsSemiMixedTypes="0" containsNonDate="0" containsDate="1" containsString="0" minDate="2021-01-03T00:00:00" maxDate="2023-12-09T00:00:00"/>
    </cacheField>
    <cacheField name="Ship Mode" numFmtId="0">
      <sharedItems/>
    </cacheField>
    <cacheField name="Customer Name" numFmtId="0">
      <sharedItems count="8">
        <s v="Neha"/>
        <s v="Priya"/>
        <s v="Ravi"/>
        <s v="Arjun"/>
        <s v="Asha"/>
        <s v="Vikram"/>
        <s v="Meera"/>
        <s v="Karthik"/>
      </sharedItems>
    </cacheField>
    <cacheField name="Segment" numFmtId="0">
      <sharedItems count="3">
        <s v="Consumer"/>
        <s v="Corporate"/>
        <s v="Home Office"/>
      </sharedItems>
    </cacheField>
    <cacheField name="City" numFmtId="0">
      <sharedItems count="9">
        <s v="Unknown"/>
        <s v="Kochi"/>
        <s v="New Delhi"/>
        <s v="Chennai"/>
        <s v="Hyderabad"/>
        <s v="Bengaluru"/>
        <s v="Lucknow"/>
        <s v="Ahmedabad"/>
        <s v="Mumbai"/>
      </sharedItems>
    </cacheField>
    <cacheField name="State" numFmtId="0">
      <sharedItems count="12">
        <s v="Gujarat"/>
        <s v="Telangana"/>
        <s v="Tamil Nadu"/>
        <s v="Delhi"/>
        <s v="Maharashtra"/>
        <s v="Uttar Pradesh"/>
        <s v="Unknown"/>
        <s v="Kerala"/>
        <s v="Karnataka"/>
        <s v="NA" u="1"/>
        <s v="Kerzla" u="1"/>
        <s v="Uttar Pradlsh" u="1"/>
      </sharedItems>
    </cacheField>
    <cacheField name="Region" numFmtId="0">
      <sharedItems count="6">
        <s v="North"/>
        <s v="West"/>
        <s v="South"/>
        <s v="NA"/>
        <s v="Central"/>
        <s v="East"/>
      </sharedItems>
    </cacheField>
    <cacheField name="Category" numFmtId="0">
      <sharedItems count="4">
        <s v="Technology"/>
        <s v="NA"/>
        <s v="Furniture"/>
        <s v="OfficeSupplies"/>
      </sharedItems>
    </cacheField>
    <cacheField name="Sub-Category" numFmtId="0">
      <sharedItems count="7">
        <s v="Tables"/>
        <s v="Chairs"/>
        <s v="NA"/>
        <s v="Phones"/>
        <s v="Binders"/>
        <s v="Paper"/>
        <s v="Accessories"/>
      </sharedItems>
    </cacheField>
    <cacheField name="Sales" numFmtId="1">
      <sharedItems containsSemiMixedTypes="0" containsString="0" containsNumber="1" minValue="24" maxValue="1999.43"/>
    </cacheField>
    <cacheField name="Quantity" numFmtId="0">
      <sharedItems containsSemiMixedTypes="0" containsString="0" containsNumber="1" containsInteger="1" minValue="1" maxValue="9"/>
    </cacheField>
    <cacheField name="Discount" numFmtId="9">
      <sharedItems containsSemiMixedTypes="0" containsString="0" containsNumber="1" minValue="0" maxValue="0.6"/>
    </cacheField>
    <cacheField name="Profit" numFmtId="1">
      <sharedItems containsSemiMixedTypes="0" containsString="0" containsNumber="1" minValue="-199" maxValue="796"/>
    </cacheField>
    <cacheField name="Profit Margin" numFmtId="164">
      <sharedItems containsSemiMixedTypes="0" containsString="0" containsNumber="1" minValue="-2.4693551252442707" maxValue="28.572916666666668"/>
    </cacheField>
    <cacheField name="Avg Order Value" numFmtId="3">
      <sharedItems containsSemiMixedTypes="0" containsString="0" containsNumber="1" minValue="2.6666666666666665" maxValue="1995.32"/>
    </cacheField>
    <cacheField name="Is Loss" numFmtId="0">
      <sharedItems count="2">
        <s v="YES"/>
        <s v="NO"/>
      </sharedItems>
    </cacheField>
    <cacheField name="Month" numFmtId="0">
      <sharedItems count="48">
        <s v="Nov"/>
        <s v="Jun"/>
        <s v="Sep"/>
        <s v="Feb"/>
        <s v="Apr"/>
        <s v="Jul"/>
        <s v="Mar"/>
        <s v="Oct"/>
        <s v="Aug"/>
        <s v="May"/>
        <s v="Jan"/>
        <s v="Dec"/>
        <s v="Nov-2022" u="1"/>
        <s v="Jun-2023" u="1"/>
        <s v="Sep-2021" u="1"/>
        <s v="Feb-2023" u="1"/>
        <s v="Apr-2022" u="1"/>
        <s v="Jul-2021" u="1"/>
        <s v="Jun-2021" u="1"/>
        <s v="Jul-2022" u="1"/>
        <s v="Nov-2021" u="1"/>
        <s v="Apr-2021" u="1"/>
        <s v="Mar-2022" u="1"/>
        <s v="Oct-2022" u="1"/>
        <s v="Aug-2023" u="1"/>
        <s v="May-2022" u="1"/>
        <s v="Jul-2023" u="1"/>
        <s v="May-2021" u="1"/>
        <s v="Feb-2021" u="1"/>
        <s v="May-2023" u="1"/>
        <s v="Sep-2022" u="1"/>
        <s v="Jan-2022" u="1"/>
        <s v="Mar-2021" u="1"/>
        <s v="Sep-2023" u="1"/>
        <s v="Oct-2021" u="1"/>
        <s v="Aug-2021" u="1"/>
        <s v="Feb-2022" u="1"/>
        <s v="Jan-2021" u="1"/>
        <s v="Jun-2022" u="1"/>
        <s v="Apr-2023" u="1"/>
        <s v="Aug-2022" u="1"/>
        <s v="Jan-2023" u="1"/>
        <s v="Dec-2022" u="1"/>
        <s v="Mar-2023" u="1"/>
        <s v="Dec-2023" u="1"/>
        <s v="Dec-2021" u="1"/>
        <s v="Oct-2023" u="1"/>
        <s v="Nov-2023" u="1"/>
      </sharedItems>
    </cacheField>
    <cacheField name="Year  Sales" numFmtId="0">
      <sharedItems/>
    </cacheField>
    <cacheField name="Month No." numFmtId="0">
      <sharedItems containsSemiMixedTypes="0" containsString="0" containsNumber="1" containsInteger="1" minValue="1" maxValue="12" count="12">
        <n v="11"/>
        <n v="6"/>
        <n v="9"/>
        <n v="2"/>
        <n v="4"/>
        <n v="7"/>
        <n v="3"/>
        <n v="10"/>
        <n v="8"/>
        <n v="5"/>
        <n v="1"/>
        <n v="12"/>
      </sharedItems>
    </cacheField>
  </cacheFields>
  <extLst>
    <ext xmlns:x14="http://schemas.microsoft.com/office/spreadsheetml/2009/9/main" uri="{725AE2AE-9491-48be-B2B4-4EB974FC3084}">
      <x14:pivotCacheDefinition pivotCacheId="368554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x v="0"/>
    <d v="2021-05-11T00:00:00"/>
    <s v="Standard Class"/>
    <x v="0"/>
    <x v="0"/>
    <x v="0"/>
    <x v="0"/>
    <x v="0"/>
    <x v="0"/>
    <x v="0"/>
    <n v="271.10000000000002"/>
    <n v="1"/>
    <n v="0.19"/>
    <n v="649.59"/>
    <n v="2.3961268904463298"/>
    <n v="271.10000000000002"/>
    <x v="0"/>
    <x v="0"/>
    <s v="2021"/>
    <x v="0"/>
  </r>
  <r>
    <x v="1"/>
    <x v="1"/>
    <d v="2022-09-19T00:00:00"/>
    <s v="Standard Class"/>
    <x v="1"/>
    <x v="0"/>
    <x v="1"/>
    <x v="1"/>
    <x v="1"/>
    <x v="1"/>
    <x v="1"/>
    <n v="1280"/>
    <n v="9"/>
    <n v="0.42"/>
    <n v="55.08"/>
    <n v="4.303125E-2"/>
    <n v="142.22222222222223"/>
    <x v="0"/>
    <x v="1"/>
    <s v="2022"/>
    <x v="1"/>
  </r>
  <r>
    <x v="2"/>
    <x v="2"/>
    <d v="2021-03-07T00:00:00"/>
    <s v="Same Day"/>
    <x v="2"/>
    <x v="0"/>
    <x v="0"/>
    <x v="1"/>
    <x v="2"/>
    <x v="1"/>
    <x v="2"/>
    <n v="427"/>
    <n v="7"/>
    <n v="0.14000000000000001"/>
    <n v="515.63"/>
    <n v="1.2075644028103045"/>
    <n v="61"/>
    <x v="0"/>
    <x v="2"/>
    <s v="2021"/>
    <x v="2"/>
  </r>
  <r>
    <x v="3"/>
    <x v="3"/>
    <d v="2021-11-18T00:00:00"/>
    <s v="Second Class"/>
    <x v="2"/>
    <x v="0"/>
    <x v="0"/>
    <x v="2"/>
    <x v="3"/>
    <x v="0"/>
    <x v="3"/>
    <n v="459.02"/>
    <n v="2"/>
    <n v="0.46"/>
    <n v="606"/>
    <n v="1.3202039126835432"/>
    <n v="229.51"/>
    <x v="0"/>
    <x v="3"/>
    <s v="2021"/>
    <x v="3"/>
  </r>
  <r>
    <x v="4"/>
    <x v="4"/>
    <d v="2022-12-20T00:00:00"/>
    <s v="Standard Class"/>
    <x v="2"/>
    <x v="1"/>
    <x v="2"/>
    <x v="3"/>
    <x v="4"/>
    <x v="0"/>
    <x v="0"/>
    <n v="1560"/>
    <n v="1"/>
    <n v="0.17"/>
    <n v="277"/>
    <n v="0.17756410256410257"/>
    <n v="1560"/>
    <x v="0"/>
    <x v="4"/>
    <s v="2022"/>
    <x v="4"/>
  </r>
  <r>
    <x v="5"/>
    <x v="5"/>
    <d v="2023-09-05T00:00:00"/>
    <s v="Same Day"/>
    <x v="2"/>
    <x v="0"/>
    <x v="0"/>
    <x v="3"/>
    <x v="1"/>
    <x v="2"/>
    <x v="2"/>
    <n v="579"/>
    <n v="2"/>
    <n v="0.37"/>
    <n v="-7.72"/>
    <n v="-1.3333333333333332E-2"/>
    <n v="289.5"/>
    <x v="1"/>
    <x v="5"/>
    <s v="2023"/>
    <x v="5"/>
  </r>
  <r>
    <x v="6"/>
    <x v="6"/>
    <d v="2022-06-05T00:00:00"/>
    <s v="First Class"/>
    <x v="3"/>
    <x v="0"/>
    <x v="3"/>
    <x v="3"/>
    <x v="0"/>
    <x v="1"/>
    <x v="2"/>
    <n v="152.46"/>
    <n v="4"/>
    <n v="0.48"/>
    <n v="644.77"/>
    <n v="4.2291092745638199"/>
    <n v="38.115000000000002"/>
    <x v="0"/>
    <x v="1"/>
    <s v="2022"/>
    <x v="1"/>
  </r>
  <r>
    <x v="7"/>
    <x v="7"/>
    <d v="2022-02-05T00:00:00"/>
    <s v="Same Day"/>
    <x v="4"/>
    <x v="1"/>
    <x v="3"/>
    <x v="1"/>
    <x v="1"/>
    <x v="2"/>
    <x v="4"/>
    <n v="82.5"/>
    <n v="8"/>
    <n v="0.23"/>
    <n v="167.51"/>
    <n v="2.0304242424242425"/>
    <n v="10.3125"/>
    <x v="0"/>
    <x v="5"/>
    <s v="2022"/>
    <x v="5"/>
  </r>
  <r>
    <x v="8"/>
    <x v="8"/>
    <d v="2022-03-18T00:00:00"/>
    <s v="Standard Class"/>
    <x v="3"/>
    <x v="0"/>
    <x v="4"/>
    <x v="4"/>
    <x v="2"/>
    <x v="2"/>
    <x v="5"/>
    <n v="891.92"/>
    <n v="2"/>
    <n v="0.03"/>
    <n v="120.68"/>
    <n v="0.13530361467396179"/>
    <n v="445.96"/>
    <x v="0"/>
    <x v="0"/>
    <s v="2022"/>
    <x v="0"/>
  </r>
  <r>
    <x v="9"/>
    <x v="9"/>
    <d v="2022-11-18T00:00:00"/>
    <s v="Same Day"/>
    <x v="5"/>
    <x v="0"/>
    <x v="4"/>
    <x v="5"/>
    <x v="0"/>
    <x v="3"/>
    <x v="6"/>
    <n v="1238.0899999999999"/>
    <n v="8"/>
    <n v="0.32"/>
    <n v="310"/>
    <n v="0.25038567470862377"/>
    <n v="154.76124999999999"/>
    <x v="0"/>
    <x v="4"/>
    <s v="2022"/>
    <x v="4"/>
  </r>
  <r>
    <x v="10"/>
    <x v="10"/>
    <d v="2022-06-30T00:00:00"/>
    <s v="Standard Class"/>
    <x v="6"/>
    <x v="0"/>
    <x v="0"/>
    <x v="4"/>
    <x v="1"/>
    <x v="1"/>
    <x v="6"/>
    <n v="1739.08"/>
    <n v="1"/>
    <n v="0.6"/>
    <n v="235"/>
    <n v="0.13512891873864344"/>
    <n v="1739.08"/>
    <x v="0"/>
    <x v="6"/>
    <s v="2022"/>
    <x v="6"/>
  </r>
  <r>
    <x v="11"/>
    <x v="11"/>
    <d v="2021-01-25T00:00:00"/>
    <s v="Standard Class"/>
    <x v="7"/>
    <x v="0"/>
    <x v="5"/>
    <x v="4"/>
    <x v="0"/>
    <x v="1"/>
    <x v="5"/>
    <n v="230.5"/>
    <n v="7"/>
    <n v="0.57999999999999996"/>
    <n v="483.05"/>
    <n v="2.0956616052060739"/>
    <n v="32.928571428571431"/>
    <x v="0"/>
    <x v="7"/>
    <s v="2021"/>
    <x v="7"/>
  </r>
  <r>
    <x v="12"/>
    <x v="12"/>
    <d v="2022-06-25T00:00:00"/>
    <s v="First Class"/>
    <x v="4"/>
    <x v="2"/>
    <x v="3"/>
    <x v="0"/>
    <x v="1"/>
    <x v="0"/>
    <x v="3"/>
    <n v="401.38"/>
    <n v="3"/>
    <n v="0.13"/>
    <n v="-62.8"/>
    <n v="-0.15646021226767651"/>
    <n v="133.79333333333332"/>
    <x v="1"/>
    <x v="0"/>
    <s v="2022"/>
    <x v="0"/>
  </r>
  <r>
    <x v="13"/>
    <x v="13"/>
    <d v="2022-02-06T00:00:00"/>
    <s v="Standard Class"/>
    <x v="6"/>
    <x v="1"/>
    <x v="2"/>
    <x v="6"/>
    <x v="2"/>
    <x v="0"/>
    <x v="1"/>
    <n v="1064"/>
    <n v="9"/>
    <n v="0.45"/>
    <n v="235.69"/>
    <n v="0.22151315789473683"/>
    <n v="118.22222222222223"/>
    <x v="0"/>
    <x v="8"/>
    <s v="2022"/>
    <x v="8"/>
  </r>
  <r>
    <x v="14"/>
    <x v="14"/>
    <d v="2022-12-03T00:00:00"/>
    <s v="Standard Class"/>
    <x v="4"/>
    <x v="0"/>
    <x v="5"/>
    <x v="2"/>
    <x v="3"/>
    <x v="3"/>
    <x v="3"/>
    <n v="734.58"/>
    <n v="5"/>
    <n v="0.21"/>
    <n v="692"/>
    <n v="0.94203490429905523"/>
    <n v="146.916"/>
    <x v="0"/>
    <x v="3"/>
    <s v="2022"/>
    <x v="3"/>
  </r>
  <r>
    <x v="15"/>
    <x v="15"/>
    <d v="2023-05-27T00:00:00"/>
    <s v="Same Day"/>
    <x v="3"/>
    <x v="2"/>
    <x v="1"/>
    <x v="0"/>
    <x v="0"/>
    <x v="2"/>
    <x v="1"/>
    <n v="970.25"/>
    <n v="3"/>
    <n v="0.1"/>
    <n v="-163.94"/>
    <n v="-0.16896676114403503"/>
    <n v="323.41666666666669"/>
    <x v="1"/>
    <x v="9"/>
    <s v="2023"/>
    <x v="9"/>
  </r>
  <r>
    <x v="16"/>
    <x v="16"/>
    <d v="2023-08-22T00:00:00"/>
    <s v="Same Day"/>
    <x v="3"/>
    <x v="0"/>
    <x v="5"/>
    <x v="0"/>
    <x v="3"/>
    <x v="0"/>
    <x v="3"/>
    <n v="1849.01"/>
    <n v="3"/>
    <n v="0.4"/>
    <n v="257.33999999999997"/>
    <n v="0.13917718130242668"/>
    <n v="616.3366666666667"/>
    <x v="0"/>
    <x v="5"/>
    <s v="2023"/>
    <x v="5"/>
  </r>
  <r>
    <x v="17"/>
    <x v="17"/>
    <d v="2022-09-04T00:00:00"/>
    <s v="Standard Class"/>
    <x v="2"/>
    <x v="0"/>
    <x v="2"/>
    <x v="4"/>
    <x v="4"/>
    <x v="0"/>
    <x v="6"/>
    <n v="1094"/>
    <n v="8"/>
    <n v="0.3"/>
    <n v="460.53"/>
    <n v="0.42095978062157219"/>
    <n v="136.75"/>
    <x v="0"/>
    <x v="6"/>
    <s v="2022"/>
    <x v="6"/>
  </r>
  <r>
    <x v="18"/>
    <x v="18"/>
    <d v="2021-12-30T00:00:00"/>
    <s v="Standard Class"/>
    <x v="3"/>
    <x v="0"/>
    <x v="4"/>
    <x v="0"/>
    <x v="3"/>
    <x v="0"/>
    <x v="5"/>
    <n v="836.09"/>
    <n v="4"/>
    <n v="0.32"/>
    <n v="687.71"/>
    <n v="0.82253106722960445"/>
    <n v="209.02250000000001"/>
    <x v="0"/>
    <x v="9"/>
    <s v="2021"/>
    <x v="9"/>
  </r>
  <r>
    <x v="19"/>
    <x v="19"/>
    <d v="2022-03-21T00:00:00"/>
    <s v="Standard Class"/>
    <x v="2"/>
    <x v="0"/>
    <x v="6"/>
    <x v="6"/>
    <x v="0"/>
    <x v="3"/>
    <x v="3"/>
    <n v="1979"/>
    <n v="4"/>
    <n v="0.5"/>
    <n v="393.79"/>
    <n v="0.19898433552299141"/>
    <n v="494.75"/>
    <x v="0"/>
    <x v="3"/>
    <s v="2022"/>
    <x v="3"/>
  </r>
  <r>
    <x v="20"/>
    <x v="20"/>
    <d v="2021-06-27T00:00:00"/>
    <s v="Standard Class"/>
    <x v="2"/>
    <x v="2"/>
    <x v="7"/>
    <x v="4"/>
    <x v="5"/>
    <x v="3"/>
    <x v="4"/>
    <n v="139.78"/>
    <n v="7"/>
    <n v="0.2"/>
    <n v="624.48"/>
    <n v="4.467591930175991"/>
    <n v="19.96857142857143"/>
    <x v="0"/>
    <x v="5"/>
    <s v="2021"/>
    <x v="5"/>
  </r>
  <r>
    <x v="21"/>
    <x v="21"/>
    <d v="2023-07-03T00:00:00"/>
    <s v="Same Day"/>
    <x v="5"/>
    <x v="0"/>
    <x v="4"/>
    <x v="0"/>
    <x v="0"/>
    <x v="1"/>
    <x v="3"/>
    <n v="159.25"/>
    <n v="2"/>
    <n v="0.27"/>
    <n v="34.1"/>
    <n v="0.21412872841444272"/>
    <n v="79.625"/>
    <x v="0"/>
    <x v="3"/>
    <s v="2023"/>
    <x v="3"/>
  </r>
  <r>
    <x v="22"/>
    <x v="22"/>
    <d v="2023-08-14T00:00:00"/>
    <s v="Second Class"/>
    <x v="0"/>
    <x v="0"/>
    <x v="5"/>
    <x v="7"/>
    <x v="4"/>
    <x v="3"/>
    <x v="5"/>
    <n v="867"/>
    <n v="1"/>
    <n v="7.0000000000000007E-2"/>
    <n v="423.01"/>
    <n v="0.48790080738177621"/>
    <n v="867"/>
    <x v="0"/>
    <x v="9"/>
    <s v="2023"/>
    <x v="9"/>
  </r>
  <r>
    <x v="23"/>
    <x v="23"/>
    <d v="2023-07-14T00:00:00"/>
    <s v="Second Class"/>
    <x v="1"/>
    <x v="1"/>
    <x v="4"/>
    <x v="6"/>
    <x v="2"/>
    <x v="2"/>
    <x v="6"/>
    <n v="173.02"/>
    <n v="6"/>
    <n v="0.34"/>
    <n v="779"/>
    <n v="4.5023696682464456"/>
    <n v="28.83666666666667"/>
    <x v="0"/>
    <x v="4"/>
    <s v="2023"/>
    <x v="4"/>
  </r>
  <r>
    <x v="24"/>
    <x v="24"/>
    <d v="2021-11-14T00:00:00"/>
    <s v="First Class"/>
    <x v="4"/>
    <x v="2"/>
    <x v="5"/>
    <x v="3"/>
    <x v="3"/>
    <x v="2"/>
    <x v="3"/>
    <n v="558.57000000000005"/>
    <n v="4"/>
    <n v="0.09"/>
    <n v="-78"/>
    <n v="-0.13964230087544979"/>
    <n v="139.64250000000001"/>
    <x v="1"/>
    <x v="2"/>
    <s v="2021"/>
    <x v="2"/>
  </r>
  <r>
    <x v="25"/>
    <x v="25"/>
    <d v="2023-04-25T00:00:00"/>
    <s v="Second Class"/>
    <x v="7"/>
    <x v="0"/>
    <x v="8"/>
    <x v="4"/>
    <x v="1"/>
    <x v="1"/>
    <x v="2"/>
    <n v="1314.43"/>
    <n v="2"/>
    <n v="0.04"/>
    <n v="258.49"/>
    <n v="0.19665558454995702"/>
    <n v="657.21500000000003"/>
    <x v="0"/>
    <x v="10"/>
    <s v="2023"/>
    <x v="10"/>
  </r>
  <r>
    <x v="26"/>
    <x v="26"/>
    <d v="2023-07-27T00:00:00"/>
    <s v="Standard Class"/>
    <x v="5"/>
    <x v="0"/>
    <x v="1"/>
    <x v="8"/>
    <x v="4"/>
    <x v="2"/>
    <x v="5"/>
    <n v="624"/>
    <n v="2"/>
    <n v="0.3"/>
    <n v="294"/>
    <n v="0.47115384615384615"/>
    <n v="312"/>
    <x v="0"/>
    <x v="3"/>
    <s v="2023"/>
    <x v="3"/>
  </r>
  <r>
    <x v="27"/>
    <x v="27"/>
    <d v="2023-09-07T00:00:00"/>
    <s v="First Class"/>
    <x v="7"/>
    <x v="1"/>
    <x v="4"/>
    <x v="7"/>
    <x v="1"/>
    <x v="3"/>
    <x v="4"/>
    <n v="1995.32"/>
    <n v="1"/>
    <n v="0.39"/>
    <n v="-33.200000000000003"/>
    <n v="-1.6638935108153081E-2"/>
    <n v="1995.32"/>
    <x v="1"/>
    <x v="6"/>
    <s v="2023"/>
    <x v="6"/>
  </r>
  <r>
    <x v="28"/>
    <x v="28"/>
    <d v="2021-01-22T00:00:00"/>
    <s v="First Class"/>
    <x v="3"/>
    <x v="0"/>
    <x v="7"/>
    <x v="0"/>
    <x v="2"/>
    <x v="0"/>
    <x v="2"/>
    <n v="1833.44"/>
    <n v="6"/>
    <n v="0.51"/>
    <n v="331.58"/>
    <n v="0.18085129592460072"/>
    <n v="305.57333333333332"/>
    <x v="0"/>
    <x v="1"/>
    <s v="2021"/>
    <x v="1"/>
  </r>
  <r>
    <x v="29"/>
    <x v="29"/>
    <d v="2023-01-16T00:00:00"/>
    <s v="Standard Class"/>
    <x v="1"/>
    <x v="1"/>
    <x v="6"/>
    <x v="4"/>
    <x v="3"/>
    <x v="3"/>
    <x v="3"/>
    <n v="1175"/>
    <n v="7"/>
    <n v="0.47"/>
    <n v="405.98"/>
    <n v="0.34551489361702131"/>
    <n v="167.85714285714286"/>
    <x v="0"/>
    <x v="0"/>
    <s v="2023"/>
    <x v="0"/>
  </r>
  <r>
    <x v="30"/>
    <x v="30"/>
    <d v="2023-09-25T00:00:00"/>
    <s v="Same Day"/>
    <x v="6"/>
    <x v="0"/>
    <x v="0"/>
    <x v="5"/>
    <x v="3"/>
    <x v="0"/>
    <x v="2"/>
    <n v="1934.22"/>
    <n v="6"/>
    <n v="0.51"/>
    <n v="-43"/>
    <n v="-2.2231183629576781E-2"/>
    <n v="322.37"/>
    <x v="1"/>
    <x v="6"/>
    <s v="2023"/>
    <x v="6"/>
  </r>
  <r>
    <x v="31"/>
    <x v="31"/>
    <d v="2023-05-02T00:00:00"/>
    <s v="First Class"/>
    <x v="6"/>
    <x v="1"/>
    <x v="2"/>
    <x v="0"/>
    <x v="5"/>
    <x v="0"/>
    <x v="5"/>
    <n v="1737.35"/>
    <n v="1"/>
    <n v="0.46"/>
    <n v="-45.28"/>
    <n v="-2.6062681670360032E-2"/>
    <n v="1737.35"/>
    <x v="1"/>
    <x v="5"/>
    <s v="2023"/>
    <x v="5"/>
  </r>
  <r>
    <x v="32"/>
    <x v="32"/>
    <d v="2021-08-23T00:00:00"/>
    <s v="Standard Class"/>
    <x v="0"/>
    <x v="1"/>
    <x v="1"/>
    <x v="1"/>
    <x v="0"/>
    <x v="3"/>
    <x v="6"/>
    <n v="644.61"/>
    <n v="1"/>
    <n v="0.42"/>
    <n v="656.35"/>
    <n v="1.0182125626347713"/>
    <n v="644.61"/>
    <x v="0"/>
    <x v="2"/>
    <s v="2021"/>
    <x v="2"/>
  </r>
  <r>
    <x v="33"/>
    <x v="33"/>
    <d v="2023-02-03T00:00:00"/>
    <s v="Same Day"/>
    <x v="6"/>
    <x v="0"/>
    <x v="8"/>
    <x v="5"/>
    <x v="0"/>
    <x v="1"/>
    <x v="1"/>
    <n v="1501.7"/>
    <n v="1"/>
    <n v="0.01"/>
    <n v="111"/>
    <n v="7.3916228274622089E-2"/>
    <n v="1501.7"/>
    <x v="0"/>
    <x v="7"/>
    <s v="2023"/>
    <x v="7"/>
  </r>
  <r>
    <x v="34"/>
    <x v="34"/>
    <d v="2021-04-17T00:00:00"/>
    <s v="Same Day"/>
    <x v="0"/>
    <x v="0"/>
    <x v="3"/>
    <x v="1"/>
    <x v="2"/>
    <x v="1"/>
    <x v="5"/>
    <n v="282.3"/>
    <n v="7"/>
    <n v="0.38"/>
    <n v="430.33"/>
    <n v="1.5243712362734678"/>
    <n v="40.328571428571429"/>
    <x v="0"/>
    <x v="9"/>
    <s v="2021"/>
    <x v="9"/>
  </r>
  <r>
    <x v="35"/>
    <x v="35"/>
    <d v="2022-04-27T00:00:00"/>
    <s v="Standard Class"/>
    <x v="7"/>
    <x v="1"/>
    <x v="0"/>
    <x v="1"/>
    <x v="2"/>
    <x v="0"/>
    <x v="2"/>
    <n v="1372.26"/>
    <n v="7"/>
    <n v="7.0000000000000007E-2"/>
    <n v="427"/>
    <n v="0.31116552256860947"/>
    <n v="196.03714285714287"/>
    <x v="0"/>
    <x v="10"/>
    <s v="2022"/>
    <x v="10"/>
  </r>
  <r>
    <x v="36"/>
    <x v="36"/>
    <d v="2022-09-20T00:00:00"/>
    <s v="Standard Class"/>
    <x v="3"/>
    <x v="1"/>
    <x v="3"/>
    <x v="5"/>
    <x v="4"/>
    <x v="3"/>
    <x v="2"/>
    <n v="987.25"/>
    <n v="3"/>
    <n v="0.04"/>
    <n v="639.16999999999996"/>
    <n v="0.64742466447201819"/>
    <n v="329.08333333333331"/>
    <x v="0"/>
    <x v="8"/>
    <s v="2022"/>
    <x v="8"/>
  </r>
  <r>
    <x v="37"/>
    <x v="37"/>
    <d v="2022-03-04T00:00:00"/>
    <s v="Standard Class"/>
    <x v="6"/>
    <x v="0"/>
    <x v="0"/>
    <x v="6"/>
    <x v="5"/>
    <x v="3"/>
    <x v="1"/>
    <n v="43.48"/>
    <n v="1"/>
    <n v="0.09"/>
    <n v="539.89"/>
    <n v="12.416973321067157"/>
    <n v="43.48"/>
    <x v="0"/>
    <x v="3"/>
    <s v="2022"/>
    <x v="3"/>
  </r>
  <r>
    <x v="38"/>
    <x v="38"/>
    <d v="2022-12-02T00:00:00"/>
    <s v="Second Class"/>
    <x v="6"/>
    <x v="1"/>
    <x v="3"/>
    <x v="2"/>
    <x v="0"/>
    <x v="0"/>
    <x v="5"/>
    <n v="556"/>
    <n v="3"/>
    <n v="0.49"/>
    <n v="640.58000000000004"/>
    <n v="1.1521223021582734"/>
    <n v="185.33333333333334"/>
    <x v="0"/>
    <x v="1"/>
    <s v="2022"/>
    <x v="1"/>
  </r>
  <r>
    <x v="39"/>
    <x v="39"/>
    <d v="2021-08-30T00:00:00"/>
    <s v="First Class"/>
    <x v="2"/>
    <x v="0"/>
    <x v="0"/>
    <x v="0"/>
    <x v="0"/>
    <x v="0"/>
    <x v="3"/>
    <n v="1911.21"/>
    <n v="8"/>
    <n v="0.45"/>
    <n v="425"/>
    <n v="0.22237221446099592"/>
    <n v="238.90125"/>
    <x v="0"/>
    <x v="10"/>
    <s v="2021"/>
    <x v="10"/>
  </r>
  <r>
    <x v="40"/>
    <x v="40"/>
    <d v="2022-08-31T00:00:00"/>
    <s v="Same Day"/>
    <x v="3"/>
    <x v="1"/>
    <x v="1"/>
    <x v="3"/>
    <x v="2"/>
    <x v="2"/>
    <x v="0"/>
    <n v="638"/>
    <n v="2"/>
    <n v="0.56999999999999995"/>
    <n v="249.46"/>
    <n v="0.39100313479623827"/>
    <n v="319"/>
    <x v="0"/>
    <x v="7"/>
    <s v="2022"/>
    <x v="7"/>
  </r>
  <r>
    <x v="41"/>
    <x v="41"/>
    <d v="2022-10-08T00:00:00"/>
    <s v="Second Class"/>
    <x v="4"/>
    <x v="1"/>
    <x v="1"/>
    <x v="8"/>
    <x v="4"/>
    <x v="2"/>
    <x v="5"/>
    <n v="371.09"/>
    <n v="8"/>
    <n v="0.59"/>
    <n v="193.57"/>
    <n v="0.52162548168907819"/>
    <n v="46.386249999999997"/>
    <x v="0"/>
    <x v="4"/>
    <s v="2022"/>
    <x v="4"/>
  </r>
  <r>
    <x v="42"/>
    <x v="42"/>
    <d v="2022-09-27T00:00:00"/>
    <s v="Standard Class"/>
    <x v="0"/>
    <x v="0"/>
    <x v="4"/>
    <x v="3"/>
    <x v="0"/>
    <x v="2"/>
    <x v="3"/>
    <n v="383.19"/>
    <n v="5"/>
    <n v="0.54"/>
    <n v="179.03"/>
    <n v="0.4672094783266787"/>
    <n v="76.638000000000005"/>
    <x v="0"/>
    <x v="3"/>
    <s v="2022"/>
    <x v="3"/>
  </r>
  <r>
    <x v="43"/>
    <x v="43"/>
    <d v="2021-10-18T00:00:00"/>
    <s v="Second Class"/>
    <x v="0"/>
    <x v="1"/>
    <x v="5"/>
    <x v="6"/>
    <x v="4"/>
    <x v="1"/>
    <x v="4"/>
    <n v="964"/>
    <n v="2"/>
    <n v="0.08"/>
    <n v="218"/>
    <n v="0.22614107883817428"/>
    <n v="482"/>
    <x v="0"/>
    <x v="9"/>
    <s v="2021"/>
    <x v="9"/>
  </r>
  <r>
    <x v="44"/>
    <x v="44"/>
    <d v="2021-11-03T00:00:00"/>
    <s v="Standard Class"/>
    <x v="1"/>
    <x v="2"/>
    <x v="3"/>
    <x v="1"/>
    <x v="3"/>
    <x v="3"/>
    <x v="2"/>
    <n v="1686.87"/>
    <n v="9"/>
    <n v="0.53"/>
    <n v="-70.69"/>
    <n v="-4.1906015282742598E-2"/>
    <n v="187.42999999999998"/>
    <x v="1"/>
    <x v="1"/>
    <s v="2021"/>
    <x v="1"/>
  </r>
  <r>
    <x v="45"/>
    <x v="39"/>
    <d v="2021-09-16T00:00:00"/>
    <s v="Second Class"/>
    <x v="5"/>
    <x v="0"/>
    <x v="8"/>
    <x v="6"/>
    <x v="5"/>
    <x v="1"/>
    <x v="2"/>
    <n v="1518"/>
    <n v="5"/>
    <n v="0.5"/>
    <n v="223.96"/>
    <n v="0.14753623188405798"/>
    <n v="303.60000000000002"/>
    <x v="0"/>
    <x v="10"/>
    <s v="2021"/>
    <x v="10"/>
  </r>
  <r>
    <x v="46"/>
    <x v="23"/>
    <d v="2022-08-04T00:00:00"/>
    <s v="Second Class"/>
    <x v="5"/>
    <x v="0"/>
    <x v="3"/>
    <x v="8"/>
    <x v="0"/>
    <x v="3"/>
    <x v="4"/>
    <n v="879.34"/>
    <n v="7"/>
    <n v="0.52"/>
    <n v="189"/>
    <n v="0.21493392771851616"/>
    <n v="125.62"/>
    <x v="0"/>
    <x v="4"/>
    <s v="2022"/>
    <x v="4"/>
  </r>
  <r>
    <x v="47"/>
    <x v="45"/>
    <d v="2022-10-08T00:00:00"/>
    <s v="First Class"/>
    <x v="4"/>
    <x v="1"/>
    <x v="0"/>
    <x v="5"/>
    <x v="0"/>
    <x v="3"/>
    <x v="5"/>
    <n v="425.37"/>
    <n v="1"/>
    <n v="0.09"/>
    <n v="-165.43"/>
    <n v="-0.38890847967651693"/>
    <n v="425.37"/>
    <x v="1"/>
    <x v="9"/>
    <s v="2022"/>
    <x v="9"/>
  </r>
  <r>
    <x v="48"/>
    <x v="46"/>
    <d v="2021-12-30T00:00:00"/>
    <s v="Second Class"/>
    <x v="2"/>
    <x v="0"/>
    <x v="7"/>
    <x v="0"/>
    <x v="3"/>
    <x v="2"/>
    <x v="1"/>
    <n v="102"/>
    <n v="4"/>
    <n v="7.0000000000000007E-2"/>
    <n v="75.13"/>
    <n v="0.7365686274509804"/>
    <n v="25.5"/>
    <x v="0"/>
    <x v="3"/>
    <s v="2021"/>
    <x v="3"/>
  </r>
  <r>
    <x v="49"/>
    <x v="47"/>
    <d v="2022-02-15T00:00:00"/>
    <s v="Same Day"/>
    <x v="2"/>
    <x v="1"/>
    <x v="5"/>
    <x v="3"/>
    <x v="0"/>
    <x v="3"/>
    <x v="5"/>
    <n v="930.63"/>
    <n v="6"/>
    <n v="0.55000000000000004"/>
    <n v="551.91"/>
    <n v="0.59304986944328031"/>
    <n v="155.10499999999999"/>
    <x v="0"/>
    <x v="9"/>
    <s v="2022"/>
    <x v="9"/>
  </r>
  <r>
    <x v="50"/>
    <x v="48"/>
    <d v="2021-10-15T00:00:00"/>
    <s v="Standard Class"/>
    <x v="5"/>
    <x v="1"/>
    <x v="3"/>
    <x v="4"/>
    <x v="2"/>
    <x v="3"/>
    <x v="0"/>
    <n v="1631.4"/>
    <n v="6"/>
    <n v="0.1"/>
    <n v="377.95"/>
    <n v="0.23167218340076007"/>
    <n v="271.90000000000003"/>
    <x v="0"/>
    <x v="10"/>
    <s v="2021"/>
    <x v="10"/>
  </r>
  <r>
    <x v="51"/>
    <x v="49"/>
    <d v="2021-08-08T00:00:00"/>
    <s v="Standard Class"/>
    <x v="0"/>
    <x v="2"/>
    <x v="2"/>
    <x v="7"/>
    <x v="0"/>
    <x v="3"/>
    <x v="2"/>
    <n v="1462.07"/>
    <n v="1"/>
    <n v="0.22"/>
    <n v="606.16999999999996"/>
    <n v="0.41459711231336394"/>
    <n v="1462.07"/>
    <x v="0"/>
    <x v="0"/>
    <s v="2021"/>
    <x v="0"/>
  </r>
  <r>
    <x v="52"/>
    <x v="50"/>
    <d v="2022-10-21T00:00:00"/>
    <s v="First Class"/>
    <x v="3"/>
    <x v="1"/>
    <x v="0"/>
    <x v="5"/>
    <x v="0"/>
    <x v="2"/>
    <x v="4"/>
    <n v="823"/>
    <n v="6"/>
    <n v="0.27"/>
    <n v="342.69"/>
    <n v="0.41639125151883355"/>
    <n v="137.16666666666666"/>
    <x v="0"/>
    <x v="3"/>
    <s v="2022"/>
    <x v="3"/>
  </r>
  <r>
    <x v="53"/>
    <x v="51"/>
    <d v="2023-03-29T00:00:00"/>
    <s v="Same Day"/>
    <x v="6"/>
    <x v="1"/>
    <x v="5"/>
    <x v="2"/>
    <x v="2"/>
    <x v="1"/>
    <x v="5"/>
    <n v="1193.46"/>
    <n v="9"/>
    <n v="7.0000000000000007E-2"/>
    <n v="654.08000000000004"/>
    <n v="0.54805355856082316"/>
    <n v="132.60666666666668"/>
    <x v="0"/>
    <x v="6"/>
    <s v="2023"/>
    <x v="6"/>
  </r>
  <r>
    <x v="54"/>
    <x v="52"/>
    <d v="2021-10-19T00:00:00"/>
    <s v="Same Day"/>
    <x v="6"/>
    <x v="1"/>
    <x v="7"/>
    <x v="0"/>
    <x v="3"/>
    <x v="3"/>
    <x v="1"/>
    <n v="878"/>
    <n v="8"/>
    <n v="0.01"/>
    <n v="596.07000000000005"/>
    <n v="0.67889521640091122"/>
    <n v="109.75"/>
    <x v="0"/>
    <x v="1"/>
    <s v="2021"/>
    <x v="1"/>
  </r>
  <r>
    <x v="55"/>
    <x v="53"/>
    <d v="2023-12-05T00:00:00"/>
    <s v="Same Day"/>
    <x v="4"/>
    <x v="2"/>
    <x v="6"/>
    <x v="2"/>
    <x v="4"/>
    <x v="3"/>
    <x v="6"/>
    <n v="1162"/>
    <n v="2"/>
    <n v="0.6"/>
    <n v="-101.72"/>
    <n v="-8.7538726333907052E-2"/>
    <n v="581"/>
    <x v="1"/>
    <x v="3"/>
    <s v="2023"/>
    <x v="3"/>
  </r>
  <r>
    <x v="56"/>
    <x v="54"/>
    <d v="2022-07-26T00:00:00"/>
    <s v="Same Day"/>
    <x v="2"/>
    <x v="1"/>
    <x v="7"/>
    <x v="7"/>
    <x v="2"/>
    <x v="3"/>
    <x v="6"/>
    <n v="1039.8399999999999"/>
    <n v="9"/>
    <n v="0.53"/>
    <n v="777.01"/>
    <n v="0.74723995999384529"/>
    <n v="115.53777777777776"/>
    <x v="0"/>
    <x v="4"/>
    <s v="2022"/>
    <x v="4"/>
  </r>
  <r>
    <x v="57"/>
    <x v="55"/>
    <d v="2021-06-18T00:00:00"/>
    <s v="First Class"/>
    <x v="7"/>
    <x v="0"/>
    <x v="4"/>
    <x v="7"/>
    <x v="5"/>
    <x v="0"/>
    <x v="2"/>
    <n v="1365.12"/>
    <n v="7"/>
    <n v="0.55000000000000004"/>
    <n v="-185.25"/>
    <n v="-0.13570235583684953"/>
    <n v="195.01714285714283"/>
    <x v="1"/>
    <x v="4"/>
    <s v="2021"/>
    <x v="4"/>
  </r>
  <r>
    <x v="58"/>
    <x v="56"/>
    <d v="2022-01-02T00:00:00"/>
    <s v="Same Day"/>
    <x v="1"/>
    <x v="2"/>
    <x v="1"/>
    <x v="5"/>
    <x v="5"/>
    <x v="1"/>
    <x v="3"/>
    <n v="1020.34"/>
    <n v="1"/>
    <n v="0.17"/>
    <n v="397"/>
    <n v="0.38908599094419505"/>
    <n v="1020.34"/>
    <x v="0"/>
    <x v="1"/>
    <s v="2022"/>
    <x v="1"/>
  </r>
  <r>
    <x v="59"/>
    <x v="57"/>
    <d v="2021-01-09T00:00:00"/>
    <s v="Same Day"/>
    <x v="3"/>
    <x v="0"/>
    <x v="6"/>
    <x v="8"/>
    <x v="1"/>
    <x v="0"/>
    <x v="2"/>
    <n v="1882"/>
    <n v="2"/>
    <n v="0.13"/>
    <n v="592.51"/>
    <n v="0.31482996811902231"/>
    <n v="941"/>
    <x v="0"/>
    <x v="2"/>
    <s v="2021"/>
    <x v="2"/>
  </r>
  <r>
    <x v="60"/>
    <x v="58"/>
    <d v="2021-02-10T00:00:00"/>
    <s v="Standard Class"/>
    <x v="2"/>
    <x v="0"/>
    <x v="0"/>
    <x v="6"/>
    <x v="5"/>
    <x v="2"/>
    <x v="1"/>
    <n v="861.78"/>
    <n v="9"/>
    <n v="0.26"/>
    <n v="132"/>
    <n v="0.15317134303418506"/>
    <n v="95.75333333333333"/>
    <x v="0"/>
    <x v="8"/>
    <s v="2021"/>
    <x v="8"/>
  </r>
  <r>
    <x v="61"/>
    <x v="59"/>
    <d v="2021-12-04T00:00:00"/>
    <s v="Same Day"/>
    <x v="1"/>
    <x v="0"/>
    <x v="5"/>
    <x v="7"/>
    <x v="3"/>
    <x v="1"/>
    <x v="3"/>
    <n v="41.67"/>
    <n v="2"/>
    <n v="0.27"/>
    <n v="399"/>
    <n v="9.5752339812814977"/>
    <n v="20.835000000000001"/>
    <x v="0"/>
    <x v="0"/>
    <s v="2021"/>
    <x v="0"/>
  </r>
  <r>
    <x v="62"/>
    <x v="60"/>
    <d v="2022-04-01T00:00:00"/>
    <s v="Same Day"/>
    <x v="2"/>
    <x v="1"/>
    <x v="5"/>
    <x v="4"/>
    <x v="3"/>
    <x v="2"/>
    <x v="6"/>
    <n v="480"/>
    <n v="1"/>
    <n v="0"/>
    <n v="162.12"/>
    <n v="0.33774999999999999"/>
    <n v="480"/>
    <x v="0"/>
    <x v="8"/>
    <s v="2022"/>
    <x v="8"/>
  </r>
  <r>
    <x v="63"/>
    <x v="61"/>
    <d v="2023-03-10T00:00:00"/>
    <s v="Standard Class"/>
    <x v="2"/>
    <x v="0"/>
    <x v="0"/>
    <x v="1"/>
    <x v="1"/>
    <x v="3"/>
    <x v="2"/>
    <n v="1006.21"/>
    <n v="5"/>
    <n v="0.47"/>
    <n v="-139.38999999999999"/>
    <n v="-0.1385297303743751"/>
    <n v="201.24200000000002"/>
    <x v="1"/>
    <x v="8"/>
    <s v="2023"/>
    <x v="8"/>
  </r>
  <r>
    <x v="64"/>
    <x v="62"/>
    <d v="2021-05-16T00:00:00"/>
    <s v="Same Day"/>
    <x v="2"/>
    <x v="1"/>
    <x v="2"/>
    <x v="7"/>
    <x v="0"/>
    <x v="0"/>
    <x v="6"/>
    <n v="1085.74"/>
    <n v="5"/>
    <n v="0.6"/>
    <n v="-191.54"/>
    <n v="-0.17641424282056475"/>
    <n v="217.148"/>
    <x v="1"/>
    <x v="5"/>
    <s v="2021"/>
    <x v="5"/>
  </r>
  <r>
    <x v="65"/>
    <x v="63"/>
    <d v="2023-04-21T00:00:00"/>
    <s v="Standard Class"/>
    <x v="2"/>
    <x v="0"/>
    <x v="6"/>
    <x v="8"/>
    <x v="0"/>
    <x v="0"/>
    <x v="2"/>
    <n v="1109"/>
    <n v="6"/>
    <n v="0.32"/>
    <n v="-105.14"/>
    <n v="-9.4806131650135253E-2"/>
    <n v="184.83333333333334"/>
    <x v="1"/>
    <x v="4"/>
    <s v="2023"/>
    <x v="4"/>
  </r>
  <r>
    <x v="66"/>
    <x v="64"/>
    <d v="2021-08-24T00:00:00"/>
    <s v="Second Class"/>
    <x v="0"/>
    <x v="0"/>
    <x v="4"/>
    <x v="6"/>
    <x v="0"/>
    <x v="3"/>
    <x v="2"/>
    <n v="1431.96"/>
    <n v="6"/>
    <n v="0.23"/>
    <n v="-102"/>
    <n v="-7.1231039973183613E-2"/>
    <n v="238.66"/>
    <x v="1"/>
    <x v="9"/>
    <s v="2021"/>
    <x v="9"/>
  </r>
  <r>
    <x v="67"/>
    <x v="65"/>
    <d v="2021-05-20T00:00:00"/>
    <s v="Standard Class"/>
    <x v="7"/>
    <x v="0"/>
    <x v="8"/>
    <x v="3"/>
    <x v="3"/>
    <x v="1"/>
    <x v="1"/>
    <n v="556.54999999999995"/>
    <n v="9"/>
    <n v="0.24"/>
    <n v="411"/>
    <n v="0.73847812415775771"/>
    <n v="61.838888888888881"/>
    <x v="0"/>
    <x v="0"/>
    <s v="2021"/>
    <x v="0"/>
  </r>
  <r>
    <x v="68"/>
    <x v="49"/>
    <d v="2022-02-12T00:00:00"/>
    <s v="Second Class"/>
    <x v="7"/>
    <x v="2"/>
    <x v="2"/>
    <x v="8"/>
    <x v="0"/>
    <x v="2"/>
    <x v="2"/>
    <n v="1333.16"/>
    <n v="7"/>
    <n v="0.06"/>
    <n v="326"/>
    <n v="0.24453178913258722"/>
    <n v="190.45142857142858"/>
    <x v="0"/>
    <x v="0"/>
    <s v="2022"/>
    <x v="0"/>
  </r>
  <r>
    <x v="69"/>
    <x v="66"/>
    <d v="2023-02-15T00:00:00"/>
    <s v="Second Class"/>
    <x v="7"/>
    <x v="0"/>
    <x v="0"/>
    <x v="4"/>
    <x v="5"/>
    <x v="2"/>
    <x v="2"/>
    <n v="1411.02"/>
    <n v="1"/>
    <n v="0.16"/>
    <n v="255.46"/>
    <n v="0.18104633527519101"/>
    <n v="1411.02"/>
    <x v="0"/>
    <x v="8"/>
    <s v="2023"/>
    <x v="8"/>
  </r>
  <r>
    <x v="70"/>
    <x v="67"/>
    <d v="2022-08-29T00:00:00"/>
    <s v="Standard Class"/>
    <x v="3"/>
    <x v="0"/>
    <x v="4"/>
    <x v="2"/>
    <x v="1"/>
    <x v="2"/>
    <x v="3"/>
    <n v="828.45"/>
    <n v="1"/>
    <n v="0.3"/>
    <n v="491.92"/>
    <n v="0.5937835717303398"/>
    <n v="828.45"/>
    <x v="0"/>
    <x v="10"/>
    <s v="2022"/>
    <x v="10"/>
  </r>
  <r>
    <x v="71"/>
    <x v="68"/>
    <d v="2021-04-27T00:00:00"/>
    <s v="First Class"/>
    <x v="6"/>
    <x v="0"/>
    <x v="3"/>
    <x v="8"/>
    <x v="5"/>
    <x v="0"/>
    <x v="5"/>
    <n v="810.32"/>
    <n v="1"/>
    <n v="0.26"/>
    <n v="-183"/>
    <n v="-0.22583670648632637"/>
    <n v="810.32"/>
    <x v="1"/>
    <x v="0"/>
    <s v="2021"/>
    <x v="0"/>
  </r>
  <r>
    <x v="72"/>
    <x v="69"/>
    <d v="2021-04-27T00:00:00"/>
    <s v="Standard Class"/>
    <x v="0"/>
    <x v="0"/>
    <x v="8"/>
    <x v="3"/>
    <x v="0"/>
    <x v="0"/>
    <x v="4"/>
    <n v="366.06"/>
    <n v="4"/>
    <n v="0.33"/>
    <n v="71"/>
    <n v="0.19395727476369995"/>
    <n v="91.515000000000001"/>
    <x v="0"/>
    <x v="2"/>
    <s v="2021"/>
    <x v="2"/>
  </r>
  <r>
    <x v="73"/>
    <x v="70"/>
    <d v="2022-01-27T00:00:00"/>
    <s v="Standard Class"/>
    <x v="3"/>
    <x v="2"/>
    <x v="8"/>
    <x v="1"/>
    <x v="4"/>
    <x v="2"/>
    <x v="6"/>
    <n v="833.83"/>
    <n v="4"/>
    <n v="0.51"/>
    <n v="577.39"/>
    <n v="0.6924552966432006"/>
    <n v="208.45750000000001"/>
    <x v="0"/>
    <x v="5"/>
    <s v="2022"/>
    <x v="5"/>
  </r>
  <r>
    <x v="74"/>
    <x v="71"/>
    <d v="2022-03-28T00:00:00"/>
    <s v="Same Day"/>
    <x v="3"/>
    <x v="0"/>
    <x v="3"/>
    <x v="1"/>
    <x v="3"/>
    <x v="0"/>
    <x v="3"/>
    <n v="1575.76"/>
    <n v="9"/>
    <n v="0.14000000000000001"/>
    <n v="709.98"/>
    <n v="0.45056353759455758"/>
    <n v="175.08444444444444"/>
    <x v="0"/>
    <x v="4"/>
    <s v="2022"/>
    <x v="4"/>
  </r>
  <r>
    <x v="75"/>
    <x v="72"/>
    <d v="2023-09-27T00:00:00"/>
    <s v="Standard Class"/>
    <x v="3"/>
    <x v="2"/>
    <x v="4"/>
    <x v="4"/>
    <x v="5"/>
    <x v="2"/>
    <x v="5"/>
    <n v="1818.86"/>
    <n v="4"/>
    <n v="0.02"/>
    <n v="238"/>
    <n v="0.13085119250519556"/>
    <n v="454.71499999999997"/>
    <x v="0"/>
    <x v="3"/>
    <s v="2023"/>
    <x v="3"/>
  </r>
  <r>
    <x v="76"/>
    <x v="73"/>
    <d v="2021-10-15T00:00:00"/>
    <s v="Standard Class"/>
    <x v="2"/>
    <x v="2"/>
    <x v="6"/>
    <x v="5"/>
    <x v="5"/>
    <x v="0"/>
    <x v="6"/>
    <n v="1191.29"/>
    <n v="1"/>
    <n v="0.02"/>
    <n v="-118.52"/>
    <n v="-9.9488789463522742E-2"/>
    <n v="1191.29"/>
    <x v="1"/>
    <x v="9"/>
    <s v="2021"/>
    <x v="9"/>
  </r>
  <r>
    <x v="77"/>
    <x v="74"/>
    <d v="2021-07-13T00:00:00"/>
    <s v="Standard Class"/>
    <x v="5"/>
    <x v="0"/>
    <x v="2"/>
    <x v="5"/>
    <x v="2"/>
    <x v="0"/>
    <x v="2"/>
    <n v="606"/>
    <n v="8"/>
    <n v="0.08"/>
    <n v="598.73"/>
    <n v="0.98800330033003303"/>
    <n v="75.75"/>
    <x v="0"/>
    <x v="4"/>
    <s v="2021"/>
    <x v="4"/>
  </r>
  <r>
    <x v="78"/>
    <x v="64"/>
    <d v="2023-08-05T00:00:00"/>
    <s v="First Class"/>
    <x v="2"/>
    <x v="1"/>
    <x v="3"/>
    <x v="6"/>
    <x v="3"/>
    <x v="0"/>
    <x v="4"/>
    <n v="1367.76"/>
    <n v="3"/>
    <n v="0.34"/>
    <n v="685.17"/>
    <n v="0.50094314792068784"/>
    <n v="455.92"/>
    <x v="0"/>
    <x v="9"/>
    <s v="2023"/>
    <x v="9"/>
  </r>
  <r>
    <x v="79"/>
    <x v="75"/>
    <d v="2021-06-04T00:00:00"/>
    <s v="Same Day"/>
    <x v="7"/>
    <x v="1"/>
    <x v="6"/>
    <x v="6"/>
    <x v="3"/>
    <x v="0"/>
    <x v="6"/>
    <n v="1482.89"/>
    <n v="9"/>
    <n v="0.48"/>
    <n v="214"/>
    <n v="0.14431279461052404"/>
    <n v="164.76555555555558"/>
    <x v="0"/>
    <x v="11"/>
    <s v="2021"/>
    <x v="11"/>
  </r>
  <r>
    <x v="80"/>
    <x v="76"/>
    <d v="2021-01-28T00:00:00"/>
    <s v="Second Class"/>
    <x v="3"/>
    <x v="1"/>
    <x v="0"/>
    <x v="2"/>
    <x v="2"/>
    <x v="3"/>
    <x v="5"/>
    <n v="671.1"/>
    <n v="7"/>
    <n v="0.53"/>
    <n v="43.36"/>
    <n v="6.4610341230815077E-2"/>
    <n v="95.871428571428581"/>
    <x v="0"/>
    <x v="5"/>
    <s v="2021"/>
    <x v="5"/>
  </r>
  <r>
    <x v="81"/>
    <x v="77"/>
    <d v="2022-02-28T00:00:00"/>
    <s v="Same Day"/>
    <x v="7"/>
    <x v="2"/>
    <x v="2"/>
    <x v="5"/>
    <x v="3"/>
    <x v="2"/>
    <x v="0"/>
    <n v="1654.83"/>
    <n v="8"/>
    <n v="0.38"/>
    <n v="-156.03"/>
    <n v="-9.4287630753612156E-2"/>
    <n v="206.85374999999999"/>
    <x v="1"/>
    <x v="9"/>
    <s v="2022"/>
    <x v="9"/>
  </r>
  <r>
    <x v="82"/>
    <x v="78"/>
    <d v="2022-02-07T00:00:00"/>
    <s v="Standard Class"/>
    <x v="2"/>
    <x v="1"/>
    <x v="6"/>
    <x v="2"/>
    <x v="0"/>
    <x v="2"/>
    <x v="3"/>
    <n v="156.65"/>
    <n v="8"/>
    <n v="0.24"/>
    <n v="391.08"/>
    <n v="2.4965209064794127"/>
    <n v="19.581250000000001"/>
    <x v="0"/>
    <x v="8"/>
    <s v="2022"/>
    <x v="8"/>
  </r>
  <r>
    <x v="83"/>
    <x v="79"/>
    <d v="2022-09-13T00:00:00"/>
    <s v="First Class"/>
    <x v="5"/>
    <x v="0"/>
    <x v="7"/>
    <x v="8"/>
    <x v="4"/>
    <x v="1"/>
    <x v="0"/>
    <n v="31.4"/>
    <n v="2"/>
    <n v="0.09"/>
    <n v="709.87"/>
    <n v="22.607324840764331"/>
    <n v="15.7"/>
    <x v="0"/>
    <x v="3"/>
    <s v="2022"/>
    <x v="3"/>
  </r>
  <r>
    <x v="84"/>
    <x v="8"/>
    <d v="2023-05-29T00:00:00"/>
    <s v="Same Day"/>
    <x v="4"/>
    <x v="0"/>
    <x v="5"/>
    <x v="0"/>
    <x v="1"/>
    <x v="2"/>
    <x v="6"/>
    <n v="254.71"/>
    <n v="6"/>
    <n v="0.24"/>
    <n v="477.89"/>
    <n v="1.8762121628518706"/>
    <n v="42.451666666666668"/>
    <x v="0"/>
    <x v="0"/>
    <s v="2023"/>
    <x v="0"/>
  </r>
  <r>
    <x v="85"/>
    <x v="80"/>
    <d v="2023-07-23T00:00:00"/>
    <s v="First Class"/>
    <x v="2"/>
    <x v="1"/>
    <x v="0"/>
    <x v="3"/>
    <x v="3"/>
    <x v="3"/>
    <x v="2"/>
    <n v="320.45999999999998"/>
    <n v="4"/>
    <n v="0.2"/>
    <n v="117.25"/>
    <n v="0.36588029707295766"/>
    <n v="80.114999999999995"/>
    <x v="0"/>
    <x v="9"/>
    <s v="2023"/>
    <x v="9"/>
  </r>
  <r>
    <x v="86"/>
    <x v="81"/>
    <d v="2021-10-18T00:00:00"/>
    <s v="First Class"/>
    <x v="5"/>
    <x v="1"/>
    <x v="7"/>
    <x v="4"/>
    <x v="3"/>
    <x v="3"/>
    <x v="4"/>
    <n v="1759.07"/>
    <n v="6"/>
    <n v="0.52"/>
    <n v="442.89"/>
    <n v="0.25177508569869306"/>
    <n v="293.17833333333334"/>
    <x v="0"/>
    <x v="10"/>
    <s v="2021"/>
    <x v="10"/>
  </r>
  <r>
    <x v="87"/>
    <x v="82"/>
    <d v="2023-09-09T00:00:00"/>
    <s v="Same Day"/>
    <x v="3"/>
    <x v="1"/>
    <x v="2"/>
    <x v="4"/>
    <x v="3"/>
    <x v="0"/>
    <x v="2"/>
    <n v="855.71"/>
    <n v="7"/>
    <n v="0.28999999999999998"/>
    <n v="632"/>
    <n v="0.73856797279452147"/>
    <n v="122.24428571428572"/>
    <x v="0"/>
    <x v="5"/>
    <s v="2023"/>
    <x v="5"/>
  </r>
  <r>
    <x v="88"/>
    <x v="83"/>
    <d v="2022-09-26T00:00:00"/>
    <s v="First Class"/>
    <x v="4"/>
    <x v="2"/>
    <x v="2"/>
    <x v="1"/>
    <x v="3"/>
    <x v="2"/>
    <x v="3"/>
    <n v="557.11"/>
    <n v="5"/>
    <n v="0.14000000000000001"/>
    <n v="275.83"/>
    <n v="0.49510868589686052"/>
    <n v="111.422"/>
    <x v="0"/>
    <x v="6"/>
    <s v="2022"/>
    <x v="6"/>
  </r>
  <r>
    <x v="89"/>
    <x v="84"/>
    <d v="2021-12-03T00:00:00"/>
    <s v="Same Day"/>
    <x v="6"/>
    <x v="2"/>
    <x v="2"/>
    <x v="7"/>
    <x v="2"/>
    <x v="0"/>
    <x v="2"/>
    <n v="863.86"/>
    <n v="3"/>
    <n v="0.17"/>
    <n v="619.75"/>
    <n v="0.71741948926909449"/>
    <n v="287.95333333333332"/>
    <x v="0"/>
    <x v="10"/>
    <s v="2021"/>
    <x v="10"/>
  </r>
  <r>
    <x v="90"/>
    <x v="85"/>
    <d v="2023-07-29T00:00:00"/>
    <s v="Second Class"/>
    <x v="5"/>
    <x v="0"/>
    <x v="4"/>
    <x v="7"/>
    <x v="1"/>
    <x v="0"/>
    <x v="4"/>
    <n v="795.73"/>
    <n v="9"/>
    <n v="0.08"/>
    <n v="191.91"/>
    <n v="0.24117477033667198"/>
    <n v="88.414444444444442"/>
    <x v="0"/>
    <x v="5"/>
    <s v="2023"/>
    <x v="5"/>
  </r>
  <r>
    <x v="91"/>
    <x v="86"/>
    <d v="2021-05-19T00:00:00"/>
    <s v="Standard Class"/>
    <x v="4"/>
    <x v="0"/>
    <x v="2"/>
    <x v="8"/>
    <x v="1"/>
    <x v="2"/>
    <x v="5"/>
    <n v="609.91"/>
    <n v="6"/>
    <n v="0.55000000000000004"/>
    <n v="149"/>
    <n v="0.24429833909921136"/>
    <n v="101.65166666666666"/>
    <x v="0"/>
    <x v="5"/>
    <s v="2021"/>
    <x v="5"/>
  </r>
  <r>
    <x v="92"/>
    <x v="87"/>
    <d v="2022-08-13T00:00:00"/>
    <s v="Same Day"/>
    <x v="7"/>
    <x v="1"/>
    <x v="5"/>
    <x v="8"/>
    <x v="2"/>
    <x v="3"/>
    <x v="0"/>
    <n v="284"/>
    <n v="8"/>
    <n v="0.03"/>
    <n v="382.99"/>
    <n v="1.3485563380281691"/>
    <n v="35.5"/>
    <x v="0"/>
    <x v="6"/>
    <s v="2022"/>
    <x v="6"/>
  </r>
  <r>
    <x v="93"/>
    <x v="88"/>
    <d v="2023-03-03T00:00:00"/>
    <s v="First Class"/>
    <x v="7"/>
    <x v="2"/>
    <x v="5"/>
    <x v="6"/>
    <x v="4"/>
    <x v="2"/>
    <x v="0"/>
    <n v="1315"/>
    <n v="3"/>
    <n v="0.01"/>
    <n v="264.69"/>
    <n v="0.20128517110266159"/>
    <n v="438.33333333333331"/>
    <x v="0"/>
    <x v="3"/>
    <s v="2023"/>
    <x v="3"/>
  </r>
  <r>
    <x v="94"/>
    <x v="89"/>
    <d v="2021-09-08T00:00:00"/>
    <s v="Same Day"/>
    <x v="2"/>
    <x v="2"/>
    <x v="8"/>
    <x v="6"/>
    <x v="4"/>
    <x v="3"/>
    <x v="2"/>
    <n v="281.83999999999997"/>
    <n v="8"/>
    <n v="0.11"/>
    <n v="777.11"/>
    <n v="2.7572736304286121"/>
    <n v="35.229999999999997"/>
    <x v="0"/>
    <x v="1"/>
    <s v="2021"/>
    <x v="1"/>
  </r>
  <r>
    <x v="95"/>
    <x v="90"/>
    <d v="2021-09-29T00:00:00"/>
    <s v="Same Day"/>
    <x v="2"/>
    <x v="2"/>
    <x v="2"/>
    <x v="3"/>
    <x v="5"/>
    <x v="2"/>
    <x v="6"/>
    <n v="1553.09"/>
    <n v="3"/>
    <n v="0.49"/>
    <n v="316"/>
    <n v="0.20346534972216679"/>
    <n v="517.6966666666666"/>
    <x v="0"/>
    <x v="4"/>
    <s v="2021"/>
    <x v="4"/>
  </r>
  <r>
    <x v="96"/>
    <x v="91"/>
    <d v="2022-04-23T00:00:00"/>
    <s v="Standard Class"/>
    <x v="2"/>
    <x v="0"/>
    <x v="5"/>
    <x v="5"/>
    <x v="3"/>
    <x v="2"/>
    <x v="3"/>
    <n v="411"/>
    <n v="5"/>
    <n v="0.31"/>
    <n v="185.17"/>
    <n v="0.4505352798053528"/>
    <n v="82.2"/>
    <x v="0"/>
    <x v="11"/>
    <s v="2022"/>
    <x v="11"/>
  </r>
  <r>
    <x v="97"/>
    <x v="92"/>
    <d v="2023-06-05T00:00:00"/>
    <s v="First Class"/>
    <x v="2"/>
    <x v="0"/>
    <x v="8"/>
    <x v="5"/>
    <x v="2"/>
    <x v="3"/>
    <x v="0"/>
    <n v="1465.43"/>
    <n v="8"/>
    <n v="0.38"/>
    <n v="195"/>
    <n v="0.13306674491446197"/>
    <n v="183.17875000000001"/>
    <x v="0"/>
    <x v="2"/>
    <s v="2023"/>
    <x v="2"/>
  </r>
  <r>
    <x v="98"/>
    <x v="93"/>
    <d v="2021-08-13T00:00:00"/>
    <s v="Same Day"/>
    <x v="7"/>
    <x v="0"/>
    <x v="0"/>
    <x v="6"/>
    <x v="5"/>
    <x v="2"/>
    <x v="1"/>
    <n v="1613.12"/>
    <n v="4"/>
    <n v="0.21"/>
    <n v="348"/>
    <n v="0.21573100575282683"/>
    <n v="403.28"/>
    <x v="0"/>
    <x v="4"/>
    <s v="2021"/>
    <x v="4"/>
  </r>
  <r>
    <x v="99"/>
    <x v="94"/>
    <d v="2022-10-27T00:00:00"/>
    <s v="Standard Class"/>
    <x v="7"/>
    <x v="1"/>
    <x v="8"/>
    <x v="1"/>
    <x v="2"/>
    <x v="1"/>
    <x v="6"/>
    <n v="259"/>
    <n v="3"/>
    <n v="0.04"/>
    <n v="154.91"/>
    <n v="0.59810810810810811"/>
    <n v="86.333333333333329"/>
    <x v="0"/>
    <x v="8"/>
    <s v="2022"/>
    <x v="8"/>
  </r>
  <r>
    <x v="100"/>
    <x v="95"/>
    <d v="2022-03-30T00:00:00"/>
    <s v="Same Day"/>
    <x v="2"/>
    <x v="1"/>
    <x v="7"/>
    <x v="6"/>
    <x v="5"/>
    <x v="3"/>
    <x v="5"/>
    <n v="182.62"/>
    <n v="9"/>
    <n v="0.51"/>
    <n v="523"/>
    <n v="2.8638703318366003"/>
    <n v="20.29111111111111"/>
    <x v="0"/>
    <x v="6"/>
    <s v="2022"/>
    <x v="6"/>
  </r>
  <r>
    <x v="101"/>
    <x v="96"/>
    <d v="2021-04-23T00:00:00"/>
    <s v="First Class"/>
    <x v="1"/>
    <x v="2"/>
    <x v="2"/>
    <x v="6"/>
    <x v="4"/>
    <x v="2"/>
    <x v="1"/>
    <n v="1899.65"/>
    <n v="9"/>
    <n v="0.12"/>
    <n v="181"/>
    <n v="9.5280709604400812E-2"/>
    <n v="211.07222222222222"/>
    <x v="0"/>
    <x v="5"/>
    <s v="2021"/>
    <x v="5"/>
  </r>
  <r>
    <x v="102"/>
    <x v="36"/>
    <d v="2022-12-13T00:00:00"/>
    <s v="Same Day"/>
    <x v="2"/>
    <x v="1"/>
    <x v="8"/>
    <x v="1"/>
    <x v="0"/>
    <x v="3"/>
    <x v="5"/>
    <n v="931.46"/>
    <n v="3"/>
    <n v="0.02"/>
    <n v="184.14"/>
    <n v="0.19768964850879261"/>
    <n v="310.48666666666668"/>
    <x v="0"/>
    <x v="8"/>
    <s v="2022"/>
    <x v="8"/>
  </r>
  <r>
    <x v="103"/>
    <x v="97"/>
    <d v="2023-04-14T00:00:00"/>
    <s v="Second Class"/>
    <x v="6"/>
    <x v="2"/>
    <x v="6"/>
    <x v="0"/>
    <x v="3"/>
    <x v="0"/>
    <x v="0"/>
    <n v="1264.17"/>
    <n v="3"/>
    <n v="0.34"/>
    <n v="416.97"/>
    <n v="0.32983696812928642"/>
    <n v="421.39000000000004"/>
    <x v="0"/>
    <x v="8"/>
    <s v="2023"/>
    <x v="8"/>
  </r>
  <r>
    <x v="104"/>
    <x v="98"/>
    <d v="2022-07-31T00:00:00"/>
    <s v="Same Day"/>
    <x v="2"/>
    <x v="0"/>
    <x v="8"/>
    <x v="3"/>
    <x v="0"/>
    <x v="3"/>
    <x v="0"/>
    <n v="56.29"/>
    <n v="3"/>
    <n v="0.05"/>
    <n v="-139"/>
    <n v="-2.4693551252442707"/>
    <n v="18.763333333333332"/>
    <x v="1"/>
    <x v="0"/>
    <s v="2022"/>
    <x v="0"/>
  </r>
  <r>
    <x v="105"/>
    <x v="99"/>
    <d v="2021-06-27T00:00:00"/>
    <s v="Standard Class"/>
    <x v="5"/>
    <x v="0"/>
    <x v="0"/>
    <x v="2"/>
    <x v="0"/>
    <x v="0"/>
    <x v="5"/>
    <n v="564.63"/>
    <n v="1"/>
    <n v="0.06"/>
    <n v="455"/>
    <n v="0.80583745107415472"/>
    <n v="564.63"/>
    <x v="0"/>
    <x v="4"/>
    <s v="2021"/>
    <x v="4"/>
  </r>
  <r>
    <x v="106"/>
    <x v="100"/>
    <d v="2021-06-06T00:00:00"/>
    <s v="Same Day"/>
    <x v="0"/>
    <x v="1"/>
    <x v="0"/>
    <x v="6"/>
    <x v="4"/>
    <x v="1"/>
    <x v="5"/>
    <n v="1016"/>
    <n v="5"/>
    <n v="0.48"/>
    <n v="304.97000000000003"/>
    <n v="0.3001673228346457"/>
    <n v="203.2"/>
    <x v="0"/>
    <x v="9"/>
    <s v="2021"/>
    <x v="9"/>
  </r>
  <r>
    <x v="107"/>
    <x v="101"/>
    <d v="2022-03-01T00:00:00"/>
    <s v="Same Day"/>
    <x v="6"/>
    <x v="0"/>
    <x v="0"/>
    <x v="8"/>
    <x v="1"/>
    <x v="1"/>
    <x v="2"/>
    <n v="1773.57"/>
    <n v="3"/>
    <n v="0.28999999999999998"/>
    <n v="253.03"/>
    <n v="0.14266705007414424"/>
    <n v="591.18999999999994"/>
    <x v="0"/>
    <x v="10"/>
    <s v="2022"/>
    <x v="10"/>
  </r>
  <r>
    <x v="108"/>
    <x v="102"/>
    <d v="2022-05-23T00:00:00"/>
    <s v="Second Class"/>
    <x v="3"/>
    <x v="0"/>
    <x v="6"/>
    <x v="5"/>
    <x v="3"/>
    <x v="0"/>
    <x v="6"/>
    <n v="550.16"/>
    <n v="8"/>
    <n v="0.14000000000000001"/>
    <n v="519.25"/>
    <n v="0.94381634433619321"/>
    <n v="68.77"/>
    <x v="0"/>
    <x v="8"/>
    <s v="2022"/>
    <x v="8"/>
  </r>
  <r>
    <x v="109"/>
    <x v="103"/>
    <d v="2022-07-08T00:00:00"/>
    <s v="Same Day"/>
    <x v="1"/>
    <x v="0"/>
    <x v="7"/>
    <x v="5"/>
    <x v="3"/>
    <x v="1"/>
    <x v="3"/>
    <n v="1552.63"/>
    <n v="2"/>
    <n v="0.21"/>
    <n v="558.26"/>
    <n v="0.35955765378744448"/>
    <n v="776.31500000000005"/>
    <x v="0"/>
    <x v="4"/>
    <s v="2022"/>
    <x v="4"/>
  </r>
  <r>
    <x v="110"/>
    <x v="104"/>
    <d v="2021-09-02T00:00:00"/>
    <s v="Standard Class"/>
    <x v="0"/>
    <x v="2"/>
    <x v="8"/>
    <x v="0"/>
    <x v="4"/>
    <x v="1"/>
    <x v="5"/>
    <n v="1328"/>
    <n v="6"/>
    <n v="0.44"/>
    <n v="646.26"/>
    <n v="0.48664156626506022"/>
    <n v="221.33333333333334"/>
    <x v="0"/>
    <x v="1"/>
    <s v="2021"/>
    <x v="1"/>
  </r>
  <r>
    <x v="111"/>
    <x v="105"/>
    <d v="2022-05-17T00:00:00"/>
    <s v="Standard Class"/>
    <x v="1"/>
    <x v="2"/>
    <x v="4"/>
    <x v="0"/>
    <x v="0"/>
    <x v="0"/>
    <x v="1"/>
    <n v="239"/>
    <n v="5"/>
    <n v="0.04"/>
    <n v="175"/>
    <n v="0.73221757322175729"/>
    <n v="47.8"/>
    <x v="0"/>
    <x v="2"/>
    <s v="2022"/>
    <x v="2"/>
  </r>
  <r>
    <x v="112"/>
    <x v="106"/>
    <d v="2021-10-24T00:00:00"/>
    <s v="First Class"/>
    <x v="4"/>
    <x v="0"/>
    <x v="5"/>
    <x v="1"/>
    <x v="2"/>
    <x v="2"/>
    <x v="6"/>
    <n v="594"/>
    <n v="6"/>
    <n v="7.0000000000000007E-2"/>
    <n v="127.04"/>
    <n v="0.21387205387205388"/>
    <n v="99"/>
    <x v="0"/>
    <x v="4"/>
    <s v="2021"/>
    <x v="4"/>
  </r>
  <r>
    <x v="113"/>
    <x v="44"/>
    <d v="2022-11-19T00:00:00"/>
    <s v="Standard Class"/>
    <x v="1"/>
    <x v="2"/>
    <x v="3"/>
    <x v="0"/>
    <x v="2"/>
    <x v="2"/>
    <x v="5"/>
    <n v="483.35"/>
    <n v="2"/>
    <n v="0.37"/>
    <n v="514.34"/>
    <n v="1.0641150305161891"/>
    <n v="241.67500000000001"/>
    <x v="0"/>
    <x v="1"/>
    <s v="2022"/>
    <x v="1"/>
  </r>
  <r>
    <x v="114"/>
    <x v="107"/>
    <d v="2023-09-03T00:00:00"/>
    <s v="Second Class"/>
    <x v="1"/>
    <x v="2"/>
    <x v="3"/>
    <x v="7"/>
    <x v="5"/>
    <x v="3"/>
    <x v="4"/>
    <n v="891"/>
    <n v="5"/>
    <n v="0.36"/>
    <n v="381.8"/>
    <n v="0.42850729517396186"/>
    <n v="178.2"/>
    <x v="0"/>
    <x v="1"/>
    <s v="2023"/>
    <x v="1"/>
  </r>
  <r>
    <x v="115"/>
    <x v="108"/>
    <d v="2022-10-16T00:00:00"/>
    <s v="Standard Class"/>
    <x v="2"/>
    <x v="1"/>
    <x v="1"/>
    <x v="1"/>
    <x v="1"/>
    <x v="1"/>
    <x v="6"/>
    <n v="1274.32"/>
    <n v="6"/>
    <n v="0.57999999999999996"/>
    <n v="431.8"/>
    <n v="0.3388473852721452"/>
    <n v="212.38666666666666"/>
    <x v="0"/>
    <x v="3"/>
    <s v="2022"/>
    <x v="3"/>
  </r>
  <r>
    <x v="116"/>
    <x v="109"/>
    <d v="2021-03-01T00:00:00"/>
    <s v="Same Day"/>
    <x v="4"/>
    <x v="1"/>
    <x v="2"/>
    <x v="3"/>
    <x v="0"/>
    <x v="0"/>
    <x v="5"/>
    <n v="872.51"/>
    <n v="4"/>
    <n v="0.22"/>
    <n v="355.52"/>
    <n v="0.40746810924803151"/>
    <n v="218.1275"/>
    <x v="0"/>
    <x v="2"/>
    <s v="2021"/>
    <x v="2"/>
  </r>
  <r>
    <x v="117"/>
    <x v="110"/>
    <d v="2023-09-21T00:00:00"/>
    <s v="Standard Class"/>
    <x v="5"/>
    <x v="2"/>
    <x v="5"/>
    <x v="5"/>
    <x v="2"/>
    <x v="0"/>
    <x v="2"/>
    <n v="496.63"/>
    <n v="8"/>
    <n v="0.04"/>
    <n v="573"/>
    <n v="1.1537764532952097"/>
    <n v="62.078749999999999"/>
    <x v="0"/>
    <x v="9"/>
    <s v="2023"/>
    <x v="9"/>
  </r>
  <r>
    <x v="118"/>
    <x v="111"/>
    <d v="2021-01-25T00:00:00"/>
    <s v="Standard Class"/>
    <x v="0"/>
    <x v="2"/>
    <x v="2"/>
    <x v="3"/>
    <x v="0"/>
    <x v="1"/>
    <x v="5"/>
    <n v="1394.8"/>
    <n v="5"/>
    <n v="0.32"/>
    <n v="-9.9600000000000009"/>
    <n v="-7.1408087180957853E-3"/>
    <n v="278.95999999999998"/>
    <x v="1"/>
    <x v="7"/>
    <s v="2021"/>
    <x v="7"/>
  </r>
  <r>
    <x v="119"/>
    <x v="112"/>
    <d v="2023-09-28T00:00:00"/>
    <s v="Standard Class"/>
    <x v="7"/>
    <x v="2"/>
    <x v="3"/>
    <x v="4"/>
    <x v="2"/>
    <x v="0"/>
    <x v="0"/>
    <n v="1173.0999999999999"/>
    <n v="4"/>
    <n v="0.38"/>
    <n v="355.71"/>
    <n v="0.30322223169380275"/>
    <n v="293.27499999999998"/>
    <x v="0"/>
    <x v="2"/>
    <s v="2023"/>
    <x v="2"/>
  </r>
  <r>
    <x v="120"/>
    <x v="113"/>
    <d v="2021-02-02T00:00:00"/>
    <s v="Standard Class"/>
    <x v="5"/>
    <x v="1"/>
    <x v="5"/>
    <x v="0"/>
    <x v="3"/>
    <x v="3"/>
    <x v="2"/>
    <n v="1043"/>
    <n v="1"/>
    <n v="0.08"/>
    <n v="-41.9"/>
    <n v="-4.0172579098753596E-2"/>
    <n v="1043"/>
    <x v="1"/>
    <x v="2"/>
    <s v="2021"/>
    <x v="2"/>
  </r>
  <r>
    <x v="121"/>
    <x v="82"/>
    <d v="2022-02-06T00:00:00"/>
    <s v="Second Class"/>
    <x v="2"/>
    <x v="1"/>
    <x v="2"/>
    <x v="2"/>
    <x v="1"/>
    <x v="3"/>
    <x v="1"/>
    <n v="1113"/>
    <n v="2"/>
    <n v="0.33"/>
    <n v="207.25"/>
    <n v="0.1862084456424079"/>
    <n v="556.5"/>
    <x v="0"/>
    <x v="5"/>
    <s v="2022"/>
    <x v="5"/>
  </r>
  <r>
    <x v="122"/>
    <x v="114"/>
    <d v="2021-04-17T00:00:00"/>
    <s v="Same Day"/>
    <x v="7"/>
    <x v="2"/>
    <x v="0"/>
    <x v="8"/>
    <x v="3"/>
    <x v="0"/>
    <x v="0"/>
    <n v="451.58"/>
    <n v="5"/>
    <n v="0.12"/>
    <n v="463.99"/>
    <n v="1.0274812879224058"/>
    <n v="90.316000000000003"/>
    <x v="0"/>
    <x v="5"/>
    <s v="2021"/>
    <x v="5"/>
  </r>
  <r>
    <x v="123"/>
    <x v="115"/>
    <d v="2021-04-07T00:00:00"/>
    <s v="Same Day"/>
    <x v="6"/>
    <x v="2"/>
    <x v="5"/>
    <x v="6"/>
    <x v="4"/>
    <x v="0"/>
    <x v="0"/>
    <n v="1364.06"/>
    <n v="4"/>
    <n v="0.51"/>
    <n v="293.07"/>
    <n v="0.21485125287743942"/>
    <n v="341.01499999999999"/>
    <x v="0"/>
    <x v="6"/>
    <s v="2021"/>
    <x v="6"/>
  </r>
  <r>
    <x v="124"/>
    <x v="116"/>
    <d v="2022-11-16T00:00:00"/>
    <s v="First Class"/>
    <x v="3"/>
    <x v="2"/>
    <x v="7"/>
    <x v="4"/>
    <x v="0"/>
    <x v="3"/>
    <x v="0"/>
    <n v="781.13"/>
    <n v="8"/>
    <n v="0.5"/>
    <n v="179.59"/>
    <n v="0.22991051425498957"/>
    <n v="97.641249999999999"/>
    <x v="0"/>
    <x v="8"/>
    <s v="2022"/>
    <x v="8"/>
  </r>
  <r>
    <x v="125"/>
    <x v="78"/>
    <d v="2022-12-30T00:00:00"/>
    <s v="First Class"/>
    <x v="7"/>
    <x v="0"/>
    <x v="5"/>
    <x v="2"/>
    <x v="0"/>
    <x v="1"/>
    <x v="0"/>
    <n v="733.3"/>
    <n v="8"/>
    <n v="0.26"/>
    <n v="684.97"/>
    <n v="0.93409245874812497"/>
    <n v="91.662499999999994"/>
    <x v="0"/>
    <x v="8"/>
    <s v="2022"/>
    <x v="8"/>
  </r>
  <r>
    <x v="126"/>
    <x v="117"/>
    <d v="2021-04-30T00:00:00"/>
    <s v="Same Day"/>
    <x v="1"/>
    <x v="2"/>
    <x v="3"/>
    <x v="3"/>
    <x v="1"/>
    <x v="2"/>
    <x v="2"/>
    <n v="307.97000000000003"/>
    <n v="2"/>
    <n v="0.57999999999999996"/>
    <n v="572.83000000000004"/>
    <n v="1.8600188330032146"/>
    <n v="153.98500000000001"/>
    <x v="0"/>
    <x v="1"/>
    <s v="2021"/>
    <x v="1"/>
  </r>
  <r>
    <x v="127"/>
    <x v="118"/>
    <d v="2023-09-05T00:00:00"/>
    <s v="Same Day"/>
    <x v="4"/>
    <x v="1"/>
    <x v="8"/>
    <x v="2"/>
    <x v="0"/>
    <x v="3"/>
    <x v="0"/>
    <n v="1197.71"/>
    <n v="6"/>
    <n v="0.59"/>
    <n v="326.29000000000002"/>
    <n v="0.27242821718112065"/>
    <n v="199.61833333333334"/>
    <x v="0"/>
    <x v="11"/>
    <s v="2023"/>
    <x v="11"/>
  </r>
  <r>
    <x v="128"/>
    <x v="119"/>
    <d v="2021-11-18T00:00:00"/>
    <s v="Same Day"/>
    <x v="4"/>
    <x v="0"/>
    <x v="4"/>
    <x v="7"/>
    <x v="2"/>
    <x v="2"/>
    <x v="0"/>
    <n v="1209"/>
    <n v="5"/>
    <n v="0.08"/>
    <n v="750.05"/>
    <n v="0.62038875103391233"/>
    <n v="241.8"/>
    <x v="0"/>
    <x v="6"/>
    <s v="2021"/>
    <x v="6"/>
  </r>
  <r>
    <x v="129"/>
    <x v="120"/>
    <d v="2021-11-16T00:00:00"/>
    <s v="Second Class"/>
    <x v="2"/>
    <x v="0"/>
    <x v="4"/>
    <x v="2"/>
    <x v="4"/>
    <x v="2"/>
    <x v="1"/>
    <n v="687"/>
    <n v="1"/>
    <n v="0.22"/>
    <n v="224.37"/>
    <n v="0.32659388646288212"/>
    <n v="687"/>
    <x v="0"/>
    <x v="11"/>
    <s v="2021"/>
    <x v="11"/>
  </r>
  <r>
    <x v="130"/>
    <x v="121"/>
    <d v="2021-10-25T00:00:00"/>
    <s v="Same Day"/>
    <x v="6"/>
    <x v="2"/>
    <x v="0"/>
    <x v="3"/>
    <x v="5"/>
    <x v="3"/>
    <x v="3"/>
    <n v="1721.1"/>
    <n v="6"/>
    <n v="0.36"/>
    <n v="588.07000000000005"/>
    <n v="0.34168264482017319"/>
    <n v="286.84999999999997"/>
    <x v="0"/>
    <x v="10"/>
    <s v="2021"/>
    <x v="10"/>
  </r>
  <r>
    <x v="131"/>
    <x v="122"/>
    <d v="2022-04-08T00:00:00"/>
    <s v="Standard Class"/>
    <x v="3"/>
    <x v="0"/>
    <x v="2"/>
    <x v="2"/>
    <x v="4"/>
    <x v="3"/>
    <x v="3"/>
    <n v="1692.46"/>
    <n v="5"/>
    <n v="0.05"/>
    <n v="-32.06"/>
    <n v="-1.8942840598891557E-2"/>
    <n v="338.49200000000002"/>
    <x v="1"/>
    <x v="6"/>
    <s v="2022"/>
    <x v="6"/>
  </r>
  <r>
    <x v="132"/>
    <x v="123"/>
    <d v="2021-06-28T00:00:00"/>
    <s v="Second Class"/>
    <x v="7"/>
    <x v="0"/>
    <x v="5"/>
    <x v="5"/>
    <x v="5"/>
    <x v="3"/>
    <x v="1"/>
    <n v="227.02"/>
    <n v="1"/>
    <n v="0.23"/>
    <n v="86"/>
    <n v="0.37882124922914279"/>
    <n v="227.02"/>
    <x v="0"/>
    <x v="9"/>
    <s v="2021"/>
    <x v="9"/>
  </r>
  <r>
    <x v="133"/>
    <x v="12"/>
    <d v="2022-02-03T00:00:00"/>
    <s v="Standard Class"/>
    <x v="6"/>
    <x v="2"/>
    <x v="7"/>
    <x v="4"/>
    <x v="1"/>
    <x v="3"/>
    <x v="5"/>
    <n v="1393.13"/>
    <n v="5"/>
    <n v="0.16"/>
    <n v="138.09"/>
    <n v="9.9122120692254123E-2"/>
    <n v="278.62600000000003"/>
    <x v="0"/>
    <x v="0"/>
    <s v="2022"/>
    <x v="0"/>
  </r>
  <r>
    <x v="134"/>
    <x v="124"/>
    <d v="2021-07-30T00:00:00"/>
    <s v="Standard Class"/>
    <x v="2"/>
    <x v="1"/>
    <x v="0"/>
    <x v="7"/>
    <x v="5"/>
    <x v="0"/>
    <x v="0"/>
    <n v="794"/>
    <n v="7"/>
    <n v="0.56999999999999995"/>
    <n v="-94.18"/>
    <n v="-0.11861460957178842"/>
    <n v="113.42857142857143"/>
    <x v="1"/>
    <x v="5"/>
    <s v="2021"/>
    <x v="5"/>
  </r>
  <r>
    <x v="135"/>
    <x v="125"/>
    <d v="2021-02-22T00:00:00"/>
    <s v="Standard Class"/>
    <x v="2"/>
    <x v="0"/>
    <x v="1"/>
    <x v="6"/>
    <x v="3"/>
    <x v="2"/>
    <x v="2"/>
    <n v="1999.43"/>
    <n v="3"/>
    <n v="0.25"/>
    <n v="301.8"/>
    <n v="0.15094301876034669"/>
    <n v="666.47666666666669"/>
    <x v="0"/>
    <x v="6"/>
    <s v="2021"/>
    <x v="6"/>
  </r>
  <r>
    <x v="136"/>
    <x v="41"/>
    <d v="2022-01-05T00:00:00"/>
    <s v="First Class"/>
    <x v="7"/>
    <x v="2"/>
    <x v="7"/>
    <x v="7"/>
    <x v="2"/>
    <x v="2"/>
    <x v="0"/>
    <n v="457.8"/>
    <n v="4"/>
    <n v="0.46"/>
    <n v="-8"/>
    <n v="-1.7474879860200961E-2"/>
    <n v="114.45"/>
    <x v="1"/>
    <x v="4"/>
    <s v="2022"/>
    <x v="4"/>
  </r>
  <r>
    <x v="137"/>
    <x v="126"/>
    <d v="2022-11-05T00:00:00"/>
    <s v="Standard Class"/>
    <x v="5"/>
    <x v="0"/>
    <x v="5"/>
    <x v="4"/>
    <x v="3"/>
    <x v="3"/>
    <x v="0"/>
    <n v="568"/>
    <n v="1"/>
    <n v="0.23"/>
    <n v="434.19"/>
    <n v="0.76441901408450708"/>
    <n v="568"/>
    <x v="0"/>
    <x v="8"/>
    <s v="2022"/>
    <x v="8"/>
  </r>
  <r>
    <x v="138"/>
    <x v="127"/>
    <d v="2023-02-04T00:00:00"/>
    <s v="Same Day"/>
    <x v="0"/>
    <x v="0"/>
    <x v="0"/>
    <x v="0"/>
    <x v="2"/>
    <x v="2"/>
    <x v="5"/>
    <n v="890"/>
    <n v="2"/>
    <n v="0.08"/>
    <n v="-9.91"/>
    <n v="-1.1134831460674158E-2"/>
    <n v="445"/>
    <x v="1"/>
    <x v="7"/>
    <s v="2023"/>
    <x v="7"/>
  </r>
  <r>
    <x v="139"/>
    <x v="128"/>
    <d v="2021-12-21T00:00:00"/>
    <s v="Second Class"/>
    <x v="6"/>
    <x v="0"/>
    <x v="7"/>
    <x v="8"/>
    <x v="3"/>
    <x v="2"/>
    <x v="1"/>
    <n v="545"/>
    <n v="9"/>
    <n v="0.52"/>
    <n v="-76.489999999999995"/>
    <n v="-0.14034862385321101"/>
    <n v="60.555555555555557"/>
    <x v="1"/>
    <x v="9"/>
    <s v="2021"/>
    <x v="9"/>
  </r>
  <r>
    <x v="140"/>
    <x v="129"/>
    <d v="2021-11-21T00:00:00"/>
    <s v="Same Day"/>
    <x v="2"/>
    <x v="1"/>
    <x v="0"/>
    <x v="8"/>
    <x v="1"/>
    <x v="3"/>
    <x v="4"/>
    <n v="1387"/>
    <n v="6"/>
    <n v="0"/>
    <n v="769.09"/>
    <n v="0.55449891852919975"/>
    <n v="231.16666666666666"/>
    <x v="0"/>
    <x v="9"/>
    <s v="2021"/>
    <x v="9"/>
  </r>
  <r>
    <x v="141"/>
    <x v="42"/>
    <d v="2023-02-28T00:00:00"/>
    <s v="Same Day"/>
    <x v="6"/>
    <x v="2"/>
    <x v="0"/>
    <x v="6"/>
    <x v="0"/>
    <x v="2"/>
    <x v="2"/>
    <n v="967.01"/>
    <n v="2"/>
    <n v="0.03"/>
    <n v="458.24"/>
    <n v="0.47387307266729406"/>
    <n v="483.505"/>
    <x v="0"/>
    <x v="3"/>
    <s v="2023"/>
    <x v="3"/>
  </r>
  <r>
    <x v="142"/>
    <x v="24"/>
    <d v="2022-11-14T00:00:00"/>
    <s v="Same Day"/>
    <x v="4"/>
    <x v="1"/>
    <x v="6"/>
    <x v="0"/>
    <x v="4"/>
    <x v="0"/>
    <x v="1"/>
    <n v="449.55"/>
    <n v="5"/>
    <n v="0.22"/>
    <n v="736.45"/>
    <n v="1.6381937493048604"/>
    <n v="89.91"/>
    <x v="0"/>
    <x v="2"/>
    <s v="2022"/>
    <x v="2"/>
  </r>
  <r>
    <x v="143"/>
    <x v="130"/>
    <d v="2023-04-14T00:00:00"/>
    <s v="Same Day"/>
    <x v="2"/>
    <x v="0"/>
    <x v="5"/>
    <x v="0"/>
    <x v="0"/>
    <x v="0"/>
    <x v="6"/>
    <n v="1017.68"/>
    <n v="2"/>
    <n v="0.41"/>
    <n v="289.89"/>
    <n v="0.28485378507978931"/>
    <n v="508.84"/>
    <x v="0"/>
    <x v="0"/>
    <s v="2023"/>
    <x v="0"/>
  </r>
  <r>
    <x v="144"/>
    <x v="131"/>
    <d v="2023-06-27T00:00:00"/>
    <s v="Same Day"/>
    <x v="0"/>
    <x v="0"/>
    <x v="4"/>
    <x v="6"/>
    <x v="5"/>
    <x v="2"/>
    <x v="6"/>
    <n v="1778.69"/>
    <n v="4"/>
    <n v="0.21"/>
    <n v="-166.6"/>
    <n v="-9.3664438435028016E-2"/>
    <n v="444.67250000000001"/>
    <x v="1"/>
    <x v="4"/>
    <s v="2023"/>
    <x v="4"/>
  </r>
  <r>
    <x v="145"/>
    <x v="132"/>
    <d v="2023-04-03T00:00:00"/>
    <s v="Same Day"/>
    <x v="4"/>
    <x v="1"/>
    <x v="1"/>
    <x v="7"/>
    <x v="4"/>
    <x v="3"/>
    <x v="5"/>
    <n v="1586.87"/>
    <n v="2"/>
    <n v="0.04"/>
    <n v="374"/>
    <n v="0.23568408250203232"/>
    <n v="793.43499999999995"/>
    <x v="0"/>
    <x v="6"/>
    <s v="2023"/>
    <x v="6"/>
  </r>
  <r>
    <x v="146"/>
    <x v="133"/>
    <d v="2023-07-27T00:00:00"/>
    <s v="Standard Class"/>
    <x v="6"/>
    <x v="1"/>
    <x v="6"/>
    <x v="7"/>
    <x v="5"/>
    <x v="3"/>
    <x v="3"/>
    <n v="1003"/>
    <n v="6"/>
    <n v="0.19"/>
    <n v="358.33"/>
    <n v="0.3572582253240279"/>
    <n v="167.16666666666666"/>
    <x v="0"/>
    <x v="9"/>
    <s v="2023"/>
    <x v="9"/>
  </r>
  <r>
    <x v="147"/>
    <x v="48"/>
    <d v="2022-02-22T00:00:00"/>
    <s v="Standard Class"/>
    <x v="6"/>
    <x v="0"/>
    <x v="4"/>
    <x v="2"/>
    <x v="5"/>
    <x v="1"/>
    <x v="2"/>
    <n v="584.1"/>
    <n v="6"/>
    <n v="0.15"/>
    <n v="-185.02"/>
    <n v="-0.31676082862523541"/>
    <n v="97.350000000000009"/>
    <x v="1"/>
    <x v="10"/>
    <s v="2022"/>
    <x v="10"/>
  </r>
  <r>
    <x v="148"/>
    <x v="134"/>
    <d v="2022-01-31T00:00:00"/>
    <s v="Standard Class"/>
    <x v="0"/>
    <x v="2"/>
    <x v="4"/>
    <x v="1"/>
    <x v="1"/>
    <x v="0"/>
    <x v="3"/>
    <n v="368"/>
    <n v="6"/>
    <n v="0"/>
    <n v="661.24"/>
    <n v="1.7968478260869565"/>
    <n v="61.333333333333336"/>
    <x v="0"/>
    <x v="10"/>
    <s v="2022"/>
    <x v="10"/>
  </r>
  <r>
    <x v="149"/>
    <x v="135"/>
    <d v="2021-11-19T00:00:00"/>
    <s v="Same Day"/>
    <x v="1"/>
    <x v="0"/>
    <x v="0"/>
    <x v="6"/>
    <x v="3"/>
    <x v="3"/>
    <x v="3"/>
    <n v="1757.98"/>
    <n v="4"/>
    <n v="0.32"/>
    <n v="419.97"/>
    <n v="0.23889350277022492"/>
    <n v="439.495"/>
    <x v="0"/>
    <x v="11"/>
    <s v="2021"/>
    <x v="11"/>
  </r>
  <r>
    <x v="150"/>
    <x v="136"/>
    <d v="2021-08-25T00:00:00"/>
    <s v="First Class"/>
    <x v="4"/>
    <x v="0"/>
    <x v="3"/>
    <x v="6"/>
    <x v="3"/>
    <x v="0"/>
    <x v="4"/>
    <n v="1423.23"/>
    <n v="3"/>
    <n v="7.0000000000000007E-2"/>
    <n v="545"/>
    <n v="0.38293178193264615"/>
    <n v="474.41"/>
    <x v="0"/>
    <x v="10"/>
    <s v="2021"/>
    <x v="10"/>
  </r>
  <r>
    <x v="151"/>
    <x v="137"/>
    <d v="2023-01-20T00:00:00"/>
    <s v="Standard Class"/>
    <x v="0"/>
    <x v="1"/>
    <x v="4"/>
    <x v="6"/>
    <x v="5"/>
    <x v="1"/>
    <x v="0"/>
    <n v="1148.5999999999999"/>
    <n v="3"/>
    <n v="0.17"/>
    <n v="294"/>
    <n v="0.25596378199547276"/>
    <n v="382.86666666666662"/>
    <x v="0"/>
    <x v="10"/>
    <s v="2023"/>
    <x v="10"/>
  </r>
  <r>
    <x v="152"/>
    <x v="138"/>
    <d v="2022-12-17T00:00:00"/>
    <s v="Same Day"/>
    <x v="0"/>
    <x v="1"/>
    <x v="6"/>
    <x v="7"/>
    <x v="1"/>
    <x v="2"/>
    <x v="6"/>
    <n v="1760.07"/>
    <n v="2"/>
    <n v="0.38"/>
    <n v="418"/>
    <n v="0.23749055435295188"/>
    <n v="880.03499999999997"/>
    <x v="0"/>
    <x v="11"/>
    <s v="2022"/>
    <x v="11"/>
  </r>
  <r>
    <x v="153"/>
    <x v="139"/>
    <d v="2023-03-14T00:00:00"/>
    <s v="Same Day"/>
    <x v="6"/>
    <x v="0"/>
    <x v="7"/>
    <x v="1"/>
    <x v="2"/>
    <x v="2"/>
    <x v="1"/>
    <n v="252"/>
    <n v="4"/>
    <n v="0.44"/>
    <n v="57.47"/>
    <n v="0.22805555555555554"/>
    <n v="63"/>
    <x v="0"/>
    <x v="1"/>
    <s v="2023"/>
    <x v="1"/>
  </r>
  <r>
    <x v="154"/>
    <x v="140"/>
    <d v="2021-06-18T00:00:00"/>
    <s v="First Class"/>
    <x v="0"/>
    <x v="1"/>
    <x v="5"/>
    <x v="5"/>
    <x v="1"/>
    <x v="0"/>
    <x v="6"/>
    <n v="1368"/>
    <n v="5"/>
    <n v="0.16"/>
    <n v="774"/>
    <n v="0.56578947368421051"/>
    <n v="273.60000000000002"/>
    <x v="0"/>
    <x v="7"/>
    <s v="2021"/>
    <x v="7"/>
  </r>
  <r>
    <x v="155"/>
    <x v="141"/>
    <d v="2022-05-08T00:00:00"/>
    <s v="Standard Class"/>
    <x v="2"/>
    <x v="2"/>
    <x v="3"/>
    <x v="6"/>
    <x v="0"/>
    <x v="0"/>
    <x v="6"/>
    <n v="441.26"/>
    <n v="7"/>
    <n v="0.2"/>
    <n v="200.72"/>
    <n v="0.45487920953632782"/>
    <n v="63.037142857142854"/>
    <x v="0"/>
    <x v="11"/>
    <s v="2022"/>
    <x v="11"/>
  </r>
  <r>
    <x v="156"/>
    <x v="142"/>
    <d v="2021-08-11T00:00:00"/>
    <s v="Standard Class"/>
    <x v="4"/>
    <x v="1"/>
    <x v="4"/>
    <x v="4"/>
    <x v="5"/>
    <x v="1"/>
    <x v="6"/>
    <n v="249.95"/>
    <n v="1"/>
    <n v="0.15"/>
    <n v="-38"/>
    <n v="-0.15203040608121626"/>
    <n v="249.95"/>
    <x v="1"/>
    <x v="4"/>
    <s v="2021"/>
    <x v="4"/>
  </r>
  <r>
    <x v="157"/>
    <x v="143"/>
    <d v="2023-06-14T00:00:00"/>
    <s v="Same Day"/>
    <x v="6"/>
    <x v="0"/>
    <x v="3"/>
    <x v="5"/>
    <x v="2"/>
    <x v="3"/>
    <x v="2"/>
    <n v="936.56"/>
    <n v="3"/>
    <n v="0.56999999999999995"/>
    <n v="-144"/>
    <n v="-0.15375416417527976"/>
    <n v="312.18666666666667"/>
    <x v="1"/>
    <x v="11"/>
    <s v="2023"/>
    <x v="11"/>
  </r>
  <r>
    <x v="158"/>
    <x v="144"/>
    <d v="2021-09-26T00:00:00"/>
    <s v="Same Day"/>
    <x v="2"/>
    <x v="0"/>
    <x v="0"/>
    <x v="0"/>
    <x v="2"/>
    <x v="3"/>
    <x v="6"/>
    <n v="780.91"/>
    <n v="8"/>
    <n v="0.11"/>
    <n v="436"/>
    <n v="0.55832298216183684"/>
    <n v="97.613749999999996"/>
    <x v="0"/>
    <x v="7"/>
    <s v="2021"/>
    <x v="7"/>
  </r>
  <r>
    <x v="159"/>
    <x v="145"/>
    <d v="2021-05-25T00:00:00"/>
    <s v="Same Day"/>
    <x v="5"/>
    <x v="1"/>
    <x v="3"/>
    <x v="2"/>
    <x v="3"/>
    <x v="0"/>
    <x v="4"/>
    <n v="1882.94"/>
    <n v="9"/>
    <n v="0.11"/>
    <n v="783.38"/>
    <n v="0.4160408722529661"/>
    <n v="209.21555555555557"/>
    <x v="0"/>
    <x v="10"/>
    <s v="2021"/>
    <x v="10"/>
  </r>
  <r>
    <x v="160"/>
    <x v="146"/>
    <d v="2022-07-25T00:00:00"/>
    <s v="Standard Class"/>
    <x v="4"/>
    <x v="1"/>
    <x v="0"/>
    <x v="5"/>
    <x v="4"/>
    <x v="0"/>
    <x v="6"/>
    <n v="655"/>
    <n v="9"/>
    <n v="0.27"/>
    <n v="695.79"/>
    <n v="1.0622748091603054"/>
    <n v="72.777777777777771"/>
    <x v="0"/>
    <x v="4"/>
    <s v="2022"/>
    <x v="4"/>
  </r>
  <r>
    <x v="161"/>
    <x v="130"/>
    <d v="2023-05-31T00:00:00"/>
    <s v="Standard Class"/>
    <x v="3"/>
    <x v="1"/>
    <x v="1"/>
    <x v="1"/>
    <x v="4"/>
    <x v="1"/>
    <x v="0"/>
    <n v="1631.66"/>
    <n v="3"/>
    <n v="0.11"/>
    <n v="502.1"/>
    <n v="0.30772342277190101"/>
    <n v="543.88666666666666"/>
    <x v="0"/>
    <x v="0"/>
    <s v="2023"/>
    <x v="0"/>
  </r>
  <r>
    <x v="162"/>
    <x v="147"/>
    <d v="2023-07-06T00:00:00"/>
    <s v="Same Day"/>
    <x v="5"/>
    <x v="1"/>
    <x v="6"/>
    <x v="8"/>
    <x v="1"/>
    <x v="2"/>
    <x v="4"/>
    <n v="1500"/>
    <n v="2"/>
    <n v="0.09"/>
    <n v="791"/>
    <n v="0.52733333333333332"/>
    <n v="750"/>
    <x v="0"/>
    <x v="9"/>
    <s v="2023"/>
    <x v="9"/>
  </r>
  <r>
    <x v="163"/>
    <x v="148"/>
    <d v="2021-08-04T00:00:00"/>
    <s v="Standard Class"/>
    <x v="7"/>
    <x v="2"/>
    <x v="0"/>
    <x v="6"/>
    <x v="5"/>
    <x v="0"/>
    <x v="4"/>
    <n v="1339.17"/>
    <n v="2"/>
    <n v="0.06"/>
    <n v="522.83000000000004"/>
    <n v="0.39041346505671426"/>
    <n v="669.58500000000004"/>
    <x v="0"/>
    <x v="7"/>
    <s v="2021"/>
    <x v="7"/>
  </r>
  <r>
    <x v="164"/>
    <x v="149"/>
    <d v="2021-11-23T00:00:00"/>
    <s v="Same Day"/>
    <x v="4"/>
    <x v="0"/>
    <x v="0"/>
    <x v="4"/>
    <x v="3"/>
    <x v="2"/>
    <x v="3"/>
    <n v="1841.6"/>
    <n v="2"/>
    <n v="0.38"/>
    <n v="139"/>
    <n v="7.5477845351867939E-2"/>
    <n v="920.8"/>
    <x v="0"/>
    <x v="9"/>
    <s v="2021"/>
    <x v="9"/>
  </r>
  <r>
    <x v="165"/>
    <x v="150"/>
    <d v="2021-06-04T00:00:00"/>
    <s v="Standard Class"/>
    <x v="5"/>
    <x v="0"/>
    <x v="5"/>
    <x v="3"/>
    <x v="2"/>
    <x v="2"/>
    <x v="0"/>
    <n v="822"/>
    <n v="9"/>
    <n v="0.37"/>
    <n v="401.22"/>
    <n v="0.48810218978102193"/>
    <n v="91.333333333333329"/>
    <x v="0"/>
    <x v="8"/>
    <s v="2021"/>
    <x v="8"/>
  </r>
  <r>
    <x v="166"/>
    <x v="151"/>
    <d v="2021-11-05T00:00:00"/>
    <s v="Same Day"/>
    <x v="2"/>
    <x v="2"/>
    <x v="0"/>
    <x v="7"/>
    <x v="4"/>
    <x v="3"/>
    <x v="2"/>
    <n v="785.45"/>
    <n v="8"/>
    <n v="0.39"/>
    <n v="-120.23"/>
    <n v="-0.15307148768222037"/>
    <n v="98.181250000000006"/>
    <x v="1"/>
    <x v="8"/>
    <s v="2021"/>
    <x v="8"/>
  </r>
  <r>
    <x v="167"/>
    <x v="152"/>
    <d v="2022-06-19T00:00:00"/>
    <s v="Same Day"/>
    <x v="0"/>
    <x v="1"/>
    <x v="6"/>
    <x v="1"/>
    <x v="3"/>
    <x v="3"/>
    <x v="3"/>
    <n v="330.29"/>
    <n v="8"/>
    <n v="0.46"/>
    <n v="21.68"/>
    <n v="6.5639286687456472E-2"/>
    <n v="41.286250000000003"/>
    <x v="0"/>
    <x v="9"/>
    <s v="2022"/>
    <x v="9"/>
  </r>
  <r>
    <x v="168"/>
    <x v="153"/>
    <d v="2021-09-10T00:00:00"/>
    <s v="Standard Class"/>
    <x v="5"/>
    <x v="1"/>
    <x v="5"/>
    <x v="6"/>
    <x v="5"/>
    <x v="1"/>
    <x v="3"/>
    <n v="558.77"/>
    <n v="7"/>
    <n v="0.2"/>
    <n v="217.54"/>
    <n v="0.38931939796338388"/>
    <n v="79.824285714285708"/>
    <x v="0"/>
    <x v="3"/>
    <s v="2021"/>
    <x v="3"/>
  </r>
  <r>
    <x v="169"/>
    <x v="154"/>
    <d v="2021-03-10T00:00:00"/>
    <s v="Same Day"/>
    <x v="3"/>
    <x v="1"/>
    <x v="5"/>
    <x v="2"/>
    <x v="5"/>
    <x v="2"/>
    <x v="5"/>
    <n v="1760.76"/>
    <n v="4"/>
    <n v="0.55000000000000004"/>
    <n v="1.82"/>
    <n v="1.0336445625752516E-3"/>
    <n v="440.19"/>
    <x v="0"/>
    <x v="9"/>
    <s v="2021"/>
    <x v="9"/>
  </r>
  <r>
    <x v="170"/>
    <x v="155"/>
    <d v="2022-05-27T00:00:00"/>
    <s v="Second Class"/>
    <x v="4"/>
    <x v="1"/>
    <x v="0"/>
    <x v="6"/>
    <x v="0"/>
    <x v="0"/>
    <x v="2"/>
    <n v="954"/>
    <n v="5"/>
    <n v="0.44"/>
    <n v="753.5"/>
    <n v="0.78983228511530401"/>
    <n v="190.8"/>
    <x v="0"/>
    <x v="0"/>
    <s v="2022"/>
    <x v="0"/>
  </r>
  <r>
    <x v="171"/>
    <x v="156"/>
    <d v="2021-02-23T00:00:00"/>
    <s v="Same Day"/>
    <x v="6"/>
    <x v="1"/>
    <x v="3"/>
    <x v="7"/>
    <x v="0"/>
    <x v="1"/>
    <x v="6"/>
    <n v="689.29"/>
    <n v="8"/>
    <n v="0.48"/>
    <n v="796"/>
    <n v="1.1548114726747813"/>
    <n v="86.161249999999995"/>
    <x v="0"/>
    <x v="0"/>
    <s v="2021"/>
    <x v="0"/>
  </r>
  <r>
    <x v="172"/>
    <x v="27"/>
    <d v="2021-08-16T00:00:00"/>
    <s v="Standard Class"/>
    <x v="2"/>
    <x v="0"/>
    <x v="8"/>
    <x v="6"/>
    <x v="0"/>
    <x v="1"/>
    <x v="1"/>
    <n v="440.06"/>
    <n v="8"/>
    <n v="0.43"/>
    <n v="171"/>
    <n v="0.38858337499431894"/>
    <n v="55.0075"/>
    <x v="0"/>
    <x v="6"/>
    <s v="2021"/>
    <x v="6"/>
  </r>
  <r>
    <x v="173"/>
    <x v="157"/>
    <d v="2021-02-01T00:00:00"/>
    <s v="Standard Class"/>
    <x v="3"/>
    <x v="1"/>
    <x v="6"/>
    <x v="5"/>
    <x v="2"/>
    <x v="0"/>
    <x v="4"/>
    <n v="975.07"/>
    <n v="5"/>
    <n v="0.22"/>
    <n v="509.23"/>
    <n v="0.52224968463802601"/>
    <n v="195.01400000000001"/>
    <x v="0"/>
    <x v="1"/>
    <s v="2021"/>
    <x v="1"/>
  </r>
  <r>
    <x v="174"/>
    <x v="158"/>
    <d v="2021-03-29T00:00:00"/>
    <s v="Same Day"/>
    <x v="0"/>
    <x v="1"/>
    <x v="1"/>
    <x v="6"/>
    <x v="2"/>
    <x v="1"/>
    <x v="0"/>
    <n v="1436.16"/>
    <n v="8"/>
    <n v="0.17"/>
    <n v="207.77"/>
    <n v="0.14467051024955438"/>
    <n v="179.52"/>
    <x v="0"/>
    <x v="6"/>
    <s v="2021"/>
    <x v="6"/>
  </r>
  <r>
    <x v="175"/>
    <x v="159"/>
    <d v="2022-03-14T00:00:00"/>
    <s v="First Class"/>
    <x v="1"/>
    <x v="1"/>
    <x v="5"/>
    <x v="8"/>
    <x v="2"/>
    <x v="3"/>
    <x v="2"/>
    <n v="580.52"/>
    <n v="4"/>
    <n v="0.25"/>
    <n v="-60.49"/>
    <n v="-0.10419968304278923"/>
    <n v="145.13"/>
    <x v="1"/>
    <x v="9"/>
    <s v="2022"/>
    <x v="9"/>
  </r>
  <r>
    <x v="176"/>
    <x v="160"/>
    <d v="2023-05-02T00:00:00"/>
    <s v="Same Day"/>
    <x v="7"/>
    <x v="0"/>
    <x v="8"/>
    <x v="3"/>
    <x v="3"/>
    <x v="1"/>
    <x v="3"/>
    <n v="1517.86"/>
    <n v="4"/>
    <n v="0.06"/>
    <n v="137"/>
    <n v="9.0258653630769639E-2"/>
    <n v="379.46499999999997"/>
    <x v="0"/>
    <x v="9"/>
    <s v="2023"/>
    <x v="9"/>
  </r>
  <r>
    <x v="177"/>
    <x v="161"/>
    <d v="2023-02-15T00:00:00"/>
    <s v="Same Day"/>
    <x v="4"/>
    <x v="1"/>
    <x v="2"/>
    <x v="8"/>
    <x v="3"/>
    <x v="2"/>
    <x v="4"/>
    <n v="1263"/>
    <n v="8"/>
    <n v="0.27"/>
    <n v="33.369999999999997"/>
    <n v="2.6421219319081549E-2"/>
    <n v="157.875"/>
    <x v="0"/>
    <x v="2"/>
    <s v="2023"/>
    <x v="2"/>
  </r>
  <r>
    <x v="178"/>
    <x v="162"/>
    <d v="2021-04-10T00:00:00"/>
    <s v="Standard Class"/>
    <x v="5"/>
    <x v="0"/>
    <x v="4"/>
    <x v="8"/>
    <x v="0"/>
    <x v="1"/>
    <x v="1"/>
    <n v="1577.25"/>
    <n v="4"/>
    <n v="0.03"/>
    <n v="128.08000000000001"/>
    <n v="8.1204628308765264E-2"/>
    <n v="394.3125"/>
    <x v="0"/>
    <x v="2"/>
    <s v="2021"/>
    <x v="2"/>
  </r>
  <r>
    <x v="179"/>
    <x v="101"/>
    <d v="2021-02-05T00:00:00"/>
    <s v="Second Class"/>
    <x v="2"/>
    <x v="2"/>
    <x v="2"/>
    <x v="8"/>
    <x v="4"/>
    <x v="0"/>
    <x v="1"/>
    <n v="509"/>
    <n v="7"/>
    <n v="0"/>
    <n v="15.02"/>
    <n v="2.9508840864440077E-2"/>
    <n v="72.714285714285708"/>
    <x v="0"/>
    <x v="10"/>
    <s v="2021"/>
    <x v="10"/>
  </r>
  <r>
    <x v="180"/>
    <x v="163"/>
    <d v="2021-12-06T00:00:00"/>
    <s v="Standard Class"/>
    <x v="1"/>
    <x v="0"/>
    <x v="7"/>
    <x v="0"/>
    <x v="3"/>
    <x v="2"/>
    <x v="6"/>
    <n v="1265.75"/>
    <n v="5"/>
    <n v="0.56000000000000005"/>
    <n v="-87.65"/>
    <n v="-6.9247481730199498E-2"/>
    <n v="253.15"/>
    <x v="1"/>
    <x v="5"/>
    <s v="2021"/>
    <x v="5"/>
  </r>
  <r>
    <x v="181"/>
    <x v="164"/>
    <d v="2022-10-16T00:00:00"/>
    <s v="First Class"/>
    <x v="0"/>
    <x v="1"/>
    <x v="3"/>
    <x v="0"/>
    <x v="4"/>
    <x v="0"/>
    <x v="0"/>
    <n v="315.93"/>
    <n v="3"/>
    <n v="0.41"/>
    <n v="17.43"/>
    <n v="5.5170449150128191E-2"/>
    <n v="105.31"/>
    <x v="0"/>
    <x v="10"/>
    <s v="2022"/>
    <x v="10"/>
  </r>
  <r>
    <x v="182"/>
    <x v="165"/>
    <d v="2023-01-18T00:00:00"/>
    <s v="Standard Class"/>
    <x v="3"/>
    <x v="0"/>
    <x v="1"/>
    <x v="2"/>
    <x v="2"/>
    <x v="3"/>
    <x v="3"/>
    <n v="733.96"/>
    <n v="2"/>
    <n v="0.34"/>
    <n v="705.76"/>
    <n v="0.96157828764510322"/>
    <n v="366.98"/>
    <x v="0"/>
    <x v="8"/>
    <s v="2023"/>
    <x v="8"/>
  </r>
  <r>
    <x v="183"/>
    <x v="166"/>
    <d v="2023-05-04T00:00:00"/>
    <s v="Same Day"/>
    <x v="0"/>
    <x v="1"/>
    <x v="7"/>
    <x v="6"/>
    <x v="3"/>
    <x v="2"/>
    <x v="5"/>
    <n v="1451.48"/>
    <n v="6"/>
    <n v="0.2"/>
    <n v="-114.78"/>
    <n v="-7.9077906688345689E-2"/>
    <n v="241.91333333333333"/>
    <x v="1"/>
    <x v="2"/>
    <s v="2023"/>
    <x v="2"/>
  </r>
  <r>
    <x v="184"/>
    <x v="167"/>
    <d v="2021-12-10T00:00:00"/>
    <s v="Second Class"/>
    <x v="0"/>
    <x v="0"/>
    <x v="8"/>
    <x v="6"/>
    <x v="2"/>
    <x v="2"/>
    <x v="2"/>
    <n v="1267"/>
    <n v="5"/>
    <n v="0.34"/>
    <n v="124.76"/>
    <n v="9.8468823993685881E-2"/>
    <n v="253.4"/>
    <x v="0"/>
    <x v="8"/>
    <s v="2021"/>
    <x v="8"/>
  </r>
  <r>
    <x v="185"/>
    <x v="168"/>
    <d v="2021-06-19T00:00:00"/>
    <s v="Same Day"/>
    <x v="0"/>
    <x v="2"/>
    <x v="0"/>
    <x v="0"/>
    <x v="2"/>
    <x v="0"/>
    <x v="1"/>
    <n v="383.84"/>
    <n v="4"/>
    <n v="0.53"/>
    <n v="328.45"/>
    <n v="0.85569508128386829"/>
    <n v="95.96"/>
    <x v="0"/>
    <x v="8"/>
    <s v="2021"/>
    <x v="8"/>
  </r>
  <r>
    <x v="186"/>
    <x v="169"/>
    <d v="2021-01-28T00:00:00"/>
    <s v="First Class"/>
    <x v="6"/>
    <x v="1"/>
    <x v="4"/>
    <x v="7"/>
    <x v="0"/>
    <x v="1"/>
    <x v="5"/>
    <n v="1718"/>
    <n v="7"/>
    <n v="0.39"/>
    <n v="154.51"/>
    <n v="8.9935972060535496E-2"/>
    <n v="245.42857142857142"/>
    <x v="0"/>
    <x v="10"/>
    <s v="2021"/>
    <x v="10"/>
  </r>
  <r>
    <x v="187"/>
    <x v="152"/>
    <d v="2021-05-28T00:00:00"/>
    <s v="Standard Class"/>
    <x v="7"/>
    <x v="0"/>
    <x v="0"/>
    <x v="0"/>
    <x v="1"/>
    <x v="2"/>
    <x v="4"/>
    <n v="116"/>
    <n v="1"/>
    <n v="0.36"/>
    <n v="317.61"/>
    <n v="2.7380172413793105"/>
    <n v="116"/>
    <x v="0"/>
    <x v="9"/>
    <s v="2021"/>
    <x v="9"/>
  </r>
  <r>
    <x v="188"/>
    <x v="170"/>
    <d v="2021-03-08T00:00:00"/>
    <s v="Same Day"/>
    <x v="6"/>
    <x v="0"/>
    <x v="0"/>
    <x v="5"/>
    <x v="1"/>
    <x v="1"/>
    <x v="2"/>
    <n v="1194.48"/>
    <n v="1"/>
    <n v="0.28000000000000003"/>
    <n v="-156.58000000000001"/>
    <n v="-0.13108633045341908"/>
    <n v="1194.48"/>
    <x v="1"/>
    <x v="5"/>
    <s v="2021"/>
    <x v="5"/>
  </r>
  <r>
    <x v="189"/>
    <x v="28"/>
    <d v="2023-05-12T00:00:00"/>
    <s v="First Class"/>
    <x v="6"/>
    <x v="1"/>
    <x v="6"/>
    <x v="3"/>
    <x v="4"/>
    <x v="1"/>
    <x v="0"/>
    <n v="1967.8"/>
    <n v="9"/>
    <n v="0.21"/>
    <n v="449"/>
    <n v="0.2281735948775282"/>
    <n v="218.64444444444445"/>
    <x v="0"/>
    <x v="1"/>
    <s v="2023"/>
    <x v="1"/>
  </r>
  <r>
    <x v="190"/>
    <x v="171"/>
    <d v="2021-09-27T00:00:00"/>
    <s v="Same Day"/>
    <x v="5"/>
    <x v="2"/>
    <x v="0"/>
    <x v="7"/>
    <x v="1"/>
    <x v="3"/>
    <x v="6"/>
    <n v="1067.69"/>
    <n v="6"/>
    <n v="0.42"/>
    <n v="363.48"/>
    <n v="0.3404358943138926"/>
    <n v="177.94833333333335"/>
    <x v="0"/>
    <x v="4"/>
    <s v="2021"/>
    <x v="4"/>
  </r>
  <r>
    <x v="191"/>
    <x v="172"/>
    <d v="2023-04-05T00:00:00"/>
    <s v="Second Class"/>
    <x v="5"/>
    <x v="1"/>
    <x v="2"/>
    <x v="1"/>
    <x v="5"/>
    <x v="3"/>
    <x v="3"/>
    <n v="1603.34"/>
    <n v="5"/>
    <n v="0.59"/>
    <n v="480.97"/>
    <n v="0.29998004166302844"/>
    <n v="320.66800000000001"/>
    <x v="0"/>
    <x v="9"/>
    <s v="2023"/>
    <x v="9"/>
  </r>
  <r>
    <x v="192"/>
    <x v="173"/>
    <d v="2022-09-07T00:00:00"/>
    <s v="Second Class"/>
    <x v="6"/>
    <x v="1"/>
    <x v="0"/>
    <x v="3"/>
    <x v="1"/>
    <x v="0"/>
    <x v="1"/>
    <n v="1194.4100000000001"/>
    <n v="1"/>
    <n v="0.25"/>
    <n v="367.26"/>
    <n v="0.30748235530512968"/>
    <n v="1194.4100000000001"/>
    <x v="0"/>
    <x v="3"/>
    <s v="2022"/>
    <x v="3"/>
  </r>
  <r>
    <x v="193"/>
    <x v="174"/>
    <d v="2022-06-24T00:00:00"/>
    <s v="Standard Class"/>
    <x v="2"/>
    <x v="1"/>
    <x v="7"/>
    <x v="6"/>
    <x v="5"/>
    <x v="2"/>
    <x v="5"/>
    <n v="1568.35"/>
    <n v="6"/>
    <n v="0.24"/>
    <n v="237.9"/>
    <n v="0.15168807982911978"/>
    <n v="261.39166666666665"/>
    <x v="0"/>
    <x v="1"/>
    <s v="2022"/>
    <x v="1"/>
  </r>
  <r>
    <x v="194"/>
    <x v="139"/>
    <d v="2022-04-01T00:00:00"/>
    <s v="Same Day"/>
    <x v="6"/>
    <x v="1"/>
    <x v="2"/>
    <x v="1"/>
    <x v="0"/>
    <x v="2"/>
    <x v="6"/>
    <n v="1315"/>
    <n v="4"/>
    <n v="0.26"/>
    <n v="150.13999999999999"/>
    <n v="0.11417490494296577"/>
    <n v="328.75"/>
    <x v="0"/>
    <x v="1"/>
    <s v="2022"/>
    <x v="1"/>
  </r>
  <r>
    <x v="195"/>
    <x v="175"/>
    <d v="2023-01-04T00:00:00"/>
    <s v="Second Class"/>
    <x v="3"/>
    <x v="2"/>
    <x v="7"/>
    <x v="0"/>
    <x v="4"/>
    <x v="0"/>
    <x v="0"/>
    <n v="1385.35"/>
    <n v="6"/>
    <n v="0.26"/>
    <n v="26.44"/>
    <n v="1.9085429674811423E-2"/>
    <n v="230.89166666666665"/>
    <x v="0"/>
    <x v="2"/>
    <s v="2023"/>
    <x v="2"/>
  </r>
  <r>
    <x v="196"/>
    <x v="176"/>
    <d v="2021-02-14T00:00:00"/>
    <s v="First Class"/>
    <x v="1"/>
    <x v="0"/>
    <x v="6"/>
    <x v="6"/>
    <x v="2"/>
    <x v="1"/>
    <x v="5"/>
    <n v="463.34"/>
    <n v="1"/>
    <n v="0.59"/>
    <n v="300.07"/>
    <n v="0.64762377519747916"/>
    <n v="463.34"/>
    <x v="0"/>
    <x v="5"/>
    <s v="2021"/>
    <x v="5"/>
  </r>
  <r>
    <x v="197"/>
    <x v="177"/>
    <d v="2021-04-04T00:00:00"/>
    <s v="First Class"/>
    <x v="3"/>
    <x v="1"/>
    <x v="7"/>
    <x v="1"/>
    <x v="1"/>
    <x v="3"/>
    <x v="0"/>
    <n v="1486.22"/>
    <n v="5"/>
    <n v="0.42"/>
    <n v="-173.95"/>
    <n v="-0.11704189151000524"/>
    <n v="297.24400000000003"/>
    <x v="1"/>
    <x v="7"/>
    <s v="2021"/>
    <x v="7"/>
  </r>
  <r>
    <x v="198"/>
    <x v="178"/>
    <d v="2022-03-01T00:00:00"/>
    <s v="Standard Class"/>
    <x v="1"/>
    <x v="1"/>
    <x v="6"/>
    <x v="8"/>
    <x v="5"/>
    <x v="0"/>
    <x v="2"/>
    <n v="483.44"/>
    <n v="6"/>
    <n v="0.22"/>
    <n v="128"/>
    <n v="0.26476915439351317"/>
    <n v="80.573333333333338"/>
    <x v="0"/>
    <x v="11"/>
    <s v="2022"/>
    <x v="11"/>
  </r>
  <r>
    <x v="199"/>
    <x v="21"/>
    <d v="2022-01-31T00:00:00"/>
    <s v="First Class"/>
    <x v="0"/>
    <x v="1"/>
    <x v="7"/>
    <x v="0"/>
    <x v="1"/>
    <x v="0"/>
    <x v="5"/>
    <n v="1961"/>
    <n v="3"/>
    <n v="0.22"/>
    <n v="477.87"/>
    <n v="0.24368689444161143"/>
    <n v="653.66666666666663"/>
    <x v="0"/>
    <x v="3"/>
    <s v="2022"/>
    <x v="3"/>
  </r>
  <r>
    <x v="200"/>
    <x v="179"/>
    <d v="2022-07-01T00:00:00"/>
    <s v="First Class"/>
    <x v="6"/>
    <x v="1"/>
    <x v="8"/>
    <x v="0"/>
    <x v="2"/>
    <x v="1"/>
    <x v="2"/>
    <n v="463.3"/>
    <n v="1"/>
    <n v="0.26"/>
    <n v="-91.28"/>
    <n v="-0.19702136844377294"/>
    <n v="463.3"/>
    <x v="1"/>
    <x v="6"/>
    <s v="2022"/>
    <x v="6"/>
  </r>
  <r>
    <x v="201"/>
    <x v="180"/>
    <d v="2023-09-01T00:00:00"/>
    <s v="Same Day"/>
    <x v="2"/>
    <x v="2"/>
    <x v="7"/>
    <x v="2"/>
    <x v="1"/>
    <x v="0"/>
    <x v="6"/>
    <n v="481"/>
    <n v="9"/>
    <n v="0.02"/>
    <n v="-137"/>
    <n v="-0.28482328482328484"/>
    <n v="53.444444444444443"/>
    <x v="1"/>
    <x v="8"/>
    <s v="2023"/>
    <x v="8"/>
  </r>
  <r>
    <x v="202"/>
    <x v="181"/>
    <d v="2022-08-12T00:00:00"/>
    <s v="First Class"/>
    <x v="1"/>
    <x v="1"/>
    <x v="4"/>
    <x v="3"/>
    <x v="3"/>
    <x v="0"/>
    <x v="2"/>
    <n v="1718.76"/>
    <n v="7"/>
    <n v="0.32"/>
    <n v="452.18"/>
    <n v="0.26308501477809582"/>
    <n v="245.53714285714287"/>
    <x v="0"/>
    <x v="9"/>
    <s v="2022"/>
    <x v="9"/>
  </r>
  <r>
    <x v="203"/>
    <x v="182"/>
    <d v="2021-09-16T00:00:00"/>
    <s v="Standard Class"/>
    <x v="6"/>
    <x v="1"/>
    <x v="6"/>
    <x v="0"/>
    <x v="5"/>
    <x v="3"/>
    <x v="1"/>
    <n v="494"/>
    <n v="6"/>
    <n v="0.49"/>
    <n v="197.77"/>
    <n v="0.40034412955465587"/>
    <n v="82.333333333333329"/>
    <x v="0"/>
    <x v="7"/>
    <s v="2021"/>
    <x v="7"/>
  </r>
  <r>
    <x v="204"/>
    <x v="183"/>
    <d v="2021-11-25T00:00:00"/>
    <s v="Same Day"/>
    <x v="7"/>
    <x v="2"/>
    <x v="7"/>
    <x v="1"/>
    <x v="3"/>
    <x v="0"/>
    <x v="3"/>
    <n v="728.2"/>
    <n v="7"/>
    <n v="0.4"/>
    <n v="602"/>
    <n v="0.82669596264762424"/>
    <n v="104.02857142857144"/>
    <x v="0"/>
    <x v="7"/>
    <s v="2021"/>
    <x v="7"/>
  </r>
  <r>
    <x v="205"/>
    <x v="184"/>
    <d v="2023-01-24T00:00:00"/>
    <s v="Same Day"/>
    <x v="5"/>
    <x v="1"/>
    <x v="1"/>
    <x v="0"/>
    <x v="1"/>
    <x v="2"/>
    <x v="4"/>
    <n v="1432"/>
    <n v="7"/>
    <n v="0.12"/>
    <n v="737.31"/>
    <n v="0.51488128491620111"/>
    <n v="204.57142857142858"/>
    <x v="0"/>
    <x v="7"/>
    <s v="2023"/>
    <x v="7"/>
  </r>
  <r>
    <x v="206"/>
    <x v="185"/>
    <d v="2021-07-22T00:00:00"/>
    <s v="First Class"/>
    <x v="4"/>
    <x v="1"/>
    <x v="5"/>
    <x v="6"/>
    <x v="2"/>
    <x v="0"/>
    <x v="3"/>
    <n v="326"/>
    <n v="2"/>
    <n v="0.44"/>
    <n v="757.04"/>
    <n v="2.322208588957055"/>
    <n v="163"/>
    <x v="0"/>
    <x v="2"/>
    <s v="2021"/>
    <x v="2"/>
  </r>
  <r>
    <x v="207"/>
    <x v="186"/>
    <d v="2022-05-21T00:00:00"/>
    <s v="Same Day"/>
    <x v="3"/>
    <x v="1"/>
    <x v="5"/>
    <x v="5"/>
    <x v="1"/>
    <x v="3"/>
    <x v="6"/>
    <n v="327"/>
    <n v="5"/>
    <n v="0.43"/>
    <n v="226"/>
    <n v="0.69113149847094801"/>
    <n v="65.400000000000006"/>
    <x v="0"/>
    <x v="4"/>
    <s v="2022"/>
    <x v="4"/>
  </r>
  <r>
    <x v="208"/>
    <x v="187"/>
    <d v="2022-06-24T00:00:00"/>
    <s v="Standard Class"/>
    <x v="6"/>
    <x v="2"/>
    <x v="2"/>
    <x v="3"/>
    <x v="5"/>
    <x v="2"/>
    <x v="2"/>
    <n v="978"/>
    <n v="8"/>
    <n v="0.16"/>
    <n v="64.33"/>
    <n v="6.5777096114519429E-2"/>
    <n v="122.25"/>
    <x v="0"/>
    <x v="5"/>
    <s v="2022"/>
    <x v="5"/>
  </r>
  <r>
    <x v="209"/>
    <x v="188"/>
    <d v="2023-01-22T00:00:00"/>
    <s v="First Class"/>
    <x v="5"/>
    <x v="0"/>
    <x v="1"/>
    <x v="7"/>
    <x v="4"/>
    <x v="3"/>
    <x v="0"/>
    <n v="494.96"/>
    <n v="3"/>
    <n v="0.37"/>
    <n v="409"/>
    <n v="0.82632940035558433"/>
    <n v="164.98666666666665"/>
    <x v="0"/>
    <x v="10"/>
    <s v="2023"/>
    <x v="10"/>
  </r>
  <r>
    <x v="210"/>
    <x v="189"/>
    <d v="2022-12-17T00:00:00"/>
    <s v="Same Day"/>
    <x v="2"/>
    <x v="1"/>
    <x v="8"/>
    <x v="8"/>
    <x v="2"/>
    <x v="2"/>
    <x v="0"/>
    <n v="479"/>
    <n v="9"/>
    <n v="0.37"/>
    <n v="428.19"/>
    <n v="0.89392484342379963"/>
    <n v="53.222222222222221"/>
    <x v="0"/>
    <x v="3"/>
    <s v="2022"/>
    <x v="3"/>
  </r>
  <r>
    <x v="211"/>
    <x v="190"/>
    <d v="2022-04-11T00:00:00"/>
    <s v="Standard Class"/>
    <x v="5"/>
    <x v="1"/>
    <x v="7"/>
    <x v="4"/>
    <x v="0"/>
    <x v="0"/>
    <x v="1"/>
    <n v="28"/>
    <n v="1"/>
    <n v="0.5"/>
    <n v="422.34"/>
    <n v="15.083571428571428"/>
    <n v="28"/>
    <x v="0"/>
    <x v="8"/>
    <s v="2022"/>
    <x v="8"/>
  </r>
  <r>
    <x v="212"/>
    <x v="191"/>
    <d v="2021-11-07T00:00:00"/>
    <s v="Same Day"/>
    <x v="7"/>
    <x v="0"/>
    <x v="6"/>
    <x v="7"/>
    <x v="0"/>
    <x v="2"/>
    <x v="1"/>
    <n v="747.19"/>
    <n v="3"/>
    <n v="0.08"/>
    <n v="122"/>
    <n v="0.16327841646702979"/>
    <n v="249.06333333333336"/>
    <x v="0"/>
    <x v="1"/>
    <s v="2021"/>
    <x v="1"/>
  </r>
  <r>
    <x v="213"/>
    <x v="192"/>
    <d v="2022-01-04T00:00:00"/>
    <s v="Standard Class"/>
    <x v="1"/>
    <x v="1"/>
    <x v="0"/>
    <x v="6"/>
    <x v="5"/>
    <x v="3"/>
    <x v="3"/>
    <n v="643.32000000000005"/>
    <n v="4"/>
    <n v="0.12"/>
    <n v="-136.25"/>
    <n v="-0.2117919542373935"/>
    <n v="160.83000000000001"/>
    <x v="1"/>
    <x v="8"/>
    <s v="2022"/>
    <x v="8"/>
  </r>
  <r>
    <x v="214"/>
    <x v="193"/>
    <d v="2022-02-17T00:00:00"/>
    <s v="Same Day"/>
    <x v="1"/>
    <x v="0"/>
    <x v="5"/>
    <x v="6"/>
    <x v="1"/>
    <x v="1"/>
    <x v="4"/>
    <n v="72"/>
    <n v="6"/>
    <n v="0.28999999999999998"/>
    <n v="10"/>
    <n v="0.1388888888888889"/>
    <n v="12"/>
    <x v="0"/>
    <x v="4"/>
    <s v="2022"/>
    <x v="4"/>
  </r>
  <r>
    <x v="215"/>
    <x v="194"/>
    <d v="2021-08-09T00:00:00"/>
    <s v="Second Class"/>
    <x v="3"/>
    <x v="2"/>
    <x v="3"/>
    <x v="3"/>
    <x v="1"/>
    <x v="3"/>
    <x v="1"/>
    <n v="1246"/>
    <n v="2"/>
    <n v="0.03"/>
    <n v="-46"/>
    <n v="-3.691813804173355E-2"/>
    <n v="623"/>
    <x v="1"/>
    <x v="9"/>
    <s v="2021"/>
    <x v="9"/>
  </r>
  <r>
    <x v="216"/>
    <x v="195"/>
    <d v="2022-09-19T00:00:00"/>
    <s v="Standard Class"/>
    <x v="3"/>
    <x v="0"/>
    <x v="0"/>
    <x v="1"/>
    <x v="1"/>
    <x v="0"/>
    <x v="6"/>
    <n v="1257.04"/>
    <n v="3"/>
    <n v="0.25"/>
    <n v="-76.099999999999994"/>
    <n v="-6.0539044103608476E-2"/>
    <n v="419.01333333333332"/>
    <x v="1"/>
    <x v="4"/>
    <s v="2022"/>
    <x v="4"/>
  </r>
  <r>
    <x v="217"/>
    <x v="196"/>
    <d v="2021-07-29T00:00:00"/>
    <s v="First Class"/>
    <x v="7"/>
    <x v="2"/>
    <x v="7"/>
    <x v="4"/>
    <x v="1"/>
    <x v="0"/>
    <x v="0"/>
    <n v="150.88999999999999"/>
    <n v="6"/>
    <n v="0.47"/>
    <n v="726.28"/>
    <n v="4.813307707601564"/>
    <n v="25.14833333333333"/>
    <x v="0"/>
    <x v="2"/>
    <s v="2021"/>
    <x v="2"/>
  </r>
  <r>
    <x v="218"/>
    <x v="197"/>
    <d v="2022-10-12T00:00:00"/>
    <s v="First Class"/>
    <x v="4"/>
    <x v="0"/>
    <x v="8"/>
    <x v="7"/>
    <x v="5"/>
    <x v="2"/>
    <x v="1"/>
    <n v="640.91"/>
    <n v="3"/>
    <n v="0.09"/>
    <n v="-186.15"/>
    <n v="-0.29044639652993404"/>
    <n v="213.63666666666666"/>
    <x v="1"/>
    <x v="11"/>
    <s v="2022"/>
    <x v="11"/>
  </r>
  <r>
    <x v="219"/>
    <x v="198"/>
    <d v="2023-01-23T00:00:00"/>
    <s v="First Class"/>
    <x v="5"/>
    <x v="2"/>
    <x v="8"/>
    <x v="3"/>
    <x v="4"/>
    <x v="3"/>
    <x v="1"/>
    <n v="1746.88"/>
    <n v="8"/>
    <n v="0.28000000000000003"/>
    <n v="401.86"/>
    <n v="0.23004442205532147"/>
    <n v="218.36"/>
    <x v="0"/>
    <x v="2"/>
    <s v="2023"/>
    <x v="2"/>
  </r>
  <r>
    <x v="220"/>
    <x v="5"/>
    <d v="2023-08-21T00:00:00"/>
    <s v="Standard Class"/>
    <x v="2"/>
    <x v="2"/>
    <x v="4"/>
    <x v="1"/>
    <x v="4"/>
    <x v="2"/>
    <x v="0"/>
    <n v="1168.51"/>
    <n v="8"/>
    <n v="0.59"/>
    <n v="747.47"/>
    <n v="0.63967788037757489"/>
    <n v="146.06375"/>
    <x v="0"/>
    <x v="5"/>
    <s v="2023"/>
    <x v="5"/>
  </r>
  <r>
    <x v="221"/>
    <x v="199"/>
    <d v="2021-04-30T00:00:00"/>
    <s v="Second Class"/>
    <x v="4"/>
    <x v="0"/>
    <x v="1"/>
    <x v="5"/>
    <x v="0"/>
    <x v="3"/>
    <x v="1"/>
    <n v="829.83"/>
    <n v="3"/>
    <n v="0.3"/>
    <n v="160.05000000000001"/>
    <n v="0.19287082896496874"/>
    <n v="276.61"/>
    <x v="0"/>
    <x v="5"/>
    <s v="2021"/>
    <x v="5"/>
  </r>
  <r>
    <x v="222"/>
    <x v="200"/>
    <d v="2023-01-31T00:00:00"/>
    <s v="Same Day"/>
    <x v="0"/>
    <x v="2"/>
    <x v="7"/>
    <x v="4"/>
    <x v="5"/>
    <x v="3"/>
    <x v="5"/>
    <n v="935.55"/>
    <n v="6"/>
    <n v="0.3"/>
    <n v="327.10000000000002"/>
    <n v="0.3496339051894608"/>
    <n v="155.92499999999998"/>
    <x v="0"/>
    <x v="1"/>
    <s v="2023"/>
    <x v="1"/>
  </r>
  <r>
    <x v="223"/>
    <x v="201"/>
    <d v="2021-03-28T00:00:00"/>
    <s v="Same Day"/>
    <x v="7"/>
    <x v="2"/>
    <x v="4"/>
    <x v="1"/>
    <x v="3"/>
    <x v="0"/>
    <x v="0"/>
    <n v="424.48"/>
    <n v="3"/>
    <n v="0.34"/>
    <n v="495.78"/>
    <n v="1.1679702223897472"/>
    <n v="141.49333333333334"/>
    <x v="0"/>
    <x v="3"/>
    <s v="2021"/>
    <x v="3"/>
  </r>
  <r>
    <x v="224"/>
    <x v="202"/>
    <d v="2021-05-12T00:00:00"/>
    <s v="Same Day"/>
    <x v="0"/>
    <x v="0"/>
    <x v="3"/>
    <x v="6"/>
    <x v="5"/>
    <x v="2"/>
    <x v="3"/>
    <n v="1626"/>
    <n v="4"/>
    <n v="0.11"/>
    <n v="117.17"/>
    <n v="7.2060270602706034E-2"/>
    <n v="406.5"/>
    <x v="0"/>
    <x v="10"/>
    <s v="2021"/>
    <x v="10"/>
  </r>
  <r>
    <x v="225"/>
    <x v="203"/>
    <d v="2021-06-27T00:00:00"/>
    <s v="Same Day"/>
    <x v="5"/>
    <x v="0"/>
    <x v="0"/>
    <x v="5"/>
    <x v="2"/>
    <x v="2"/>
    <x v="4"/>
    <n v="1829"/>
    <n v="7"/>
    <n v="0.09"/>
    <n v="277.64999999999998"/>
    <n v="0.15180426462547839"/>
    <n v="261.28571428571428"/>
    <x v="0"/>
    <x v="0"/>
    <s v="2021"/>
    <x v="0"/>
  </r>
  <r>
    <x v="226"/>
    <x v="204"/>
    <d v="2021-06-13T00:00:00"/>
    <s v="Second Class"/>
    <x v="4"/>
    <x v="1"/>
    <x v="2"/>
    <x v="5"/>
    <x v="3"/>
    <x v="3"/>
    <x v="2"/>
    <n v="1822.22"/>
    <n v="3"/>
    <n v="0.41"/>
    <n v="617.1"/>
    <n v="0.33865285201567319"/>
    <n v="607.40666666666664"/>
    <x v="0"/>
    <x v="1"/>
    <s v="2021"/>
    <x v="1"/>
  </r>
  <r>
    <x v="227"/>
    <x v="141"/>
    <d v="2021-06-26T00:00:00"/>
    <s v="Second Class"/>
    <x v="1"/>
    <x v="1"/>
    <x v="8"/>
    <x v="3"/>
    <x v="0"/>
    <x v="2"/>
    <x v="3"/>
    <n v="455.63"/>
    <n v="2"/>
    <n v="0.24"/>
    <n v="545"/>
    <n v="1.1961459956543687"/>
    <n v="227.815"/>
    <x v="0"/>
    <x v="11"/>
    <s v="2021"/>
    <x v="11"/>
  </r>
  <r>
    <x v="228"/>
    <x v="205"/>
    <d v="2021-02-14T00:00:00"/>
    <s v="Standard Class"/>
    <x v="0"/>
    <x v="2"/>
    <x v="6"/>
    <x v="4"/>
    <x v="3"/>
    <x v="0"/>
    <x v="5"/>
    <n v="628.37"/>
    <n v="3"/>
    <n v="0.17"/>
    <n v="608.45000000000005"/>
    <n v="0.96829893215780516"/>
    <n v="209.45666666666668"/>
    <x v="0"/>
    <x v="3"/>
    <s v="2021"/>
    <x v="3"/>
  </r>
  <r>
    <x v="229"/>
    <x v="206"/>
    <d v="2023-04-05T00:00:00"/>
    <s v="Standard Class"/>
    <x v="6"/>
    <x v="1"/>
    <x v="6"/>
    <x v="2"/>
    <x v="3"/>
    <x v="3"/>
    <x v="1"/>
    <n v="329.64"/>
    <n v="9"/>
    <n v="0.02"/>
    <n v="787.34"/>
    <n v="2.3884844072321321"/>
    <n v="36.626666666666665"/>
    <x v="0"/>
    <x v="5"/>
    <s v="2023"/>
    <x v="5"/>
  </r>
  <r>
    <x v="230"/>
    <x v="2"/>
    <d v="2021-03-04T00:00:00"/>
    <s v="First Class"/>
    <x v="0"/>
    <x v="2"/>
    <x v="6"/>
    <x v="6"/>
    <x v="0"/>
    <x v="0"/>
    <x v="6"/>
    <n v="621"/>
    <n v="3"/>
    <n v="0.51"/>
    <n v="170.33"/>
    <n v="0.27428341384863125"/>
    <n v="207"/>
    <x v="0"/>
    <x v="2"/>
    <s v="2021"/>
    <x v="2"/>
  </r>
  <r>
    <x v="231"/>
    <x v="207"/>
    <d v="2022-02-04T00:00:00"/>
    <s v="Same Day"/>
    <x v="7"/>
    <x v="0"/>
    <x v="5"/>
    <x v="2"/>
    <x v="5"/>
    <x v="0"/>
    <x v="6"/>
    <n v="672.28"/>
    <n v="4"/>
    <n v="0.02"/>
    <n v="547.09"/>
    <n v="0.81378294758136493"/>
    <n v="168.07"/>
    <x v="0"/>
    <x v="10"/>
    <s v="2022"/>
    <x v="10"/>
  </r>
  <r>
    <x v="232"/>
    <x v="208"/>
    <d v="2022-12-02T00:00:00"/>
    <s v="Same Day"/>
    <x v="0"/>
    <x v="2"/>
    <x v="2"/>
    <x v="3"/>
    <x v="2"/>
    <x v="3"/>
    <x v="5"/>
    <n v="1269.8800000000001"/>
    <n v="6"/>
    <n v="0.45"/>
    <n v="402.78"/>
    <n v="0.31717957602293123"/>
    <n v="211.64666666666668"/>
    <x v="0"/>
    <x v="11"/>
    <s v="2022"/>
    <x v="11"/>
  </r>
  <r>
    <x v="233"/>
    <x v="209"/>
    <d v="2023-09-19T00:00:00"/>
    <s v="Same Day"/>
    <x v="5"/>
    <x v="0"/>
    <x v="4"/>
    <x v="5"/>
    <x v="1"/>
    <x v="0"/>
    <x v="3"/>
    <n v="387.4"/>
    <n v="1"/>
    <n v="0.23"/>
    <n v="466.6"/>
    <n v="1.204439855446567"/>
    <n v="387.4"/>
    <x v="0"/>
    <x v="0"/>
    <s v="2023"/>
    <x v="0"/>
  </r>
  <r>
    <x v="234"/>
    <x v="210"/>
    <d v="2023-05-05T00:00:00"/>
    <s v="Second Class"/>
    <x v="7"/>
    <x v="2"/>
    <x v="1"/>
    <x v="2"/>
    <x v="4"/>
    <x v="1"/>
    <x v="1"/>
    <n v="1839.6"/>
    <n v="3"/>
    <n v="0.36"/>
    <n v="539.87"/>
    <n v="0.29347140682757122"/>
    <n v="613.19999999999993"/>
    <x v="0"/>
    <x v="9"/>
    <s v="2023"/>
    <x v="9"/>
  </r>
  <r>
    <x v="235"/>
    <x v="211"/>
    <d v="2021-05-19T00:00:00"/>
    <s v="Same Day"/>
    <x v="5"/>
    <x v="1"/>
    <x v="5"/>
    <x v="8"/>
    <x v="0"/>
    <x v="0"/>
    <x v="5"/>
    <n v="215"/>
    <n v="2"/>
    <n v="0.15"/>
    <n v="549.73"/>
    <n v="2.5568837209302329"/>
    <n v="107.5"/>
    <x v="0"/>
    <x v="3"/>
    <s v="2021"/>
    <x v="3"/>
  </r>
  <r>
    <x v="236"/>
    <x v="163"/>
    <d v="2023-09-16T00:00:00"/>
    <s v="First Class"/>
    <x v="6"/>
    <x v="1"/>
    <x v="0"/>
    <x v="6"/>
    <x v="1"/>
    <x v="0"/>
    <x v="6"/>
    <n v="24"/>
    <n v="9"/>
    <n v="0.09"/>
    <n v="685.75"/>
    <n v="28.572916666666668"/>
    <n v="2.6666666666666665"/>
    <x v="0"/>
    <x v="5"/>
    <s v="2023"/>
    <x v="5"/>
  </r>
  <r>
    <x v="237"/>
    <x v="212"/>
    <d v="2022-10-17T00:00:00"/>
    <s v="Standard Class"/>
    <x v="1"/>
    <x v="2"/>
    <x v="4"/>
    <x v="3"/>
    <x v="5"/>
    <x v="0"/>
    <x v="4"/>
    <n v="1711.34"/>
    <n v="9"/>
    <n v="0.32"/>
    <n v="149"/>
    <n v="8.7066275550153685E-2"/>
    <n v="190.14888888888888"/>
    <x v="0"/>
    <x v="9"/>
    <s v="2022"/>
    <x v="9"/>
  </r>
  <r>
    <x v="238"/>
    <x v="213"/>
    <d v="2021-06-30T00:00:00"/>
    <s v="Standard Class"/>
    <x v="2"/>
    <x v="0"/>
    <x v="6"/>
    <x v="2"/>
    <x v="0"/>
    <x v="3"/>
    <x v="4"/>
    <n v="1410.5"/>
    <n v="7"/>
    <n v="0.42"/>
    <n v="453.48"/>
    <n v="0.32150301311591634"/>
    <n v="201.5"/>
    <x v="0"/>
    <x v="10"/>
    <s v="2021"/>
    <x v="10"/>
  </r>
  <r>
    <x v="239"/>
    <x v="214"/>
    <d v="2022-03-26T00:00:00"/>
    <s v="Same Day"/>
    <x v="6"/>
    <x v="1"/>
    <x v="6"/>
    <x v="0"/>
    <x v="2"/>
    <x v="3"/>
    <x v="0"/>
    <n v="717.17"/>
    <n v="3"/>
    <n v="0.12"/>
    <n v="80.290000000000006"/>
    <n v="0.11195393003053671"/>
    <n v="239.05666666666664"/>
    <x v="0"/>
    <x v="10"/>
    <s v="2022"/>
    <x v="10"/>
  </r>
  <r>
    <x v="240"/>
    <x v="19"/>
    <d v="2023-07-08T00:00:00"/>
    <s v="First Class"/>
    <x v="2"/>
    <x v="0"/>
    <x v="7"/>
    <x v="3"/>
    <x v="3"/>
    <x v="0"/>
    <x v="0"/>
    <n v="1195"/>
    <n v="6"/>
    <n v="0.26"/>
    <n v="395"/>
    <n v="0.33054393305439328"/>
    <n v="199.16666666666666"/>
    <x v="0"/>
    <x v="3"/>
    <s v="2023"/>
    <x v="3"/>
  </r>
  <r>
    <x v="241"/>
    <x v="215"/>
    <d v="2022-01-29T00:00:00"/>
    <s v="First Class"/>
    <x v="1"/>
    <x v="0"/>
    <x v="8"/>
    <x v="1"/>
    <x v="4"/>
    <x v="1"/>
    <x v="0"/>
    <n v="454.85"/>
    <n v="6"/>
    <n v="0.27"/>
    <n v="551.17999999999995"/>
    <n v="1.2117841046498845"/>
    <n v="75.808333333333337"/>
    <x v="0"/>
    <x v="6"/>
    <s v="2022"/>
    <x v="6"/>
  </r>
  <r>
    <x v="242"/>
    <x v="216"/>
    <d v="2021-04-07T00:00:00"/>
    <s v="Standard Class"/>
    <x v="2"/>
    <x v="1"/>
    <x v="8"/>
    <x v="4"/>
    <x v="5"/>
    <x v="3"/>
    <x v="4"/>
    <n v="345.1"/>
    <n v="8"/>
    <n v="0.13"/>
    <n v="591"/>
    <n v="1.7125470878006375"/>
    <n v="43.137500000000003"/>
    <x v="0"/>
    <x v="11"/>
    <s v="2021"/>
    <x v="11"/>
  </r>
  <r>
    <x v="243"/>
    <x v="217"/>
    <d v="2023-05-27T00:00:00"/>
    <s v="Standard Class"/>
    <x v="0"/>
    <x v="2"/>
    <x v="5"/>
    <x v="1"/>
    <x v="4"/>
    <x v="2"/>
    <x v="5"/>
    <n v="947.59"/>
    <n v="2"/>
    <n v="0.34"/>
    <n v="220.12"/>
    <n v="0.23229455777287644"/>
    <n v="473.79500000000002"/>
    <x v="0"/>
    <x v="1"/>
    <s v="2023"/>
    <x v="1"/>
  </r>
  <r>
    <x v="244"/>
    <x v="218"/>
    <d v="2023-12-08T00:00:00"/>
    <s v="First Class"/>
    <x v="1"/>
    <x v="0"/>
    <x v="4"/>
    <x v="8"/>
    <x v="0"/>
    <x v="2"/>
    <x v="4"/>
    <n v="712.84"/>
    <n v="7"/>
    <n v="0.09"/>
    <n v="308.72000000000003"/>
    <n v="0.43308456315582744"/>
    <n v="101.83428571428571"/>
    <x v="0"/>
    <x v="9"/>
    <s v="2023"/>
    <x v="9"/>
  </r>
  <r>
    <x v="245"/>
    <x v="219"/>
    <d v="2023-09-04T00:00:00"/>
    <s v="First Class"/>
    <x v="3"/>
    <x v="0"/>
    <x v="0"/>
    <x v="3"/>
    <x v="5"/>
    <x v="3"/>
    <x v="5"/>
    <n v="1234.31"/>
    <n v="2"/>
    <n v="0.31"/>
    <n v="133.85"/>
    <n v="0.10844115335693627"/>
    <n v="617.15499999999997"/>
    <x v="0"/>
    <x v="3"/>
    <s v="2023"/>
    <x v="3"/>
  </r>
  <r>
    <x v="246"/>
    <x v="220"/>
    <d v="2023-08-15T00:00:00"/>
    <s v="First Class"/>
    <x v="5"/>
    <x v="1"/>
    <x v="1"/>
    <x v="4"/>
    <x v="4"/>
    <x v="2"/>
    <x v="6"/>
    <n v="444.12"/>
    <n v="6"/>
    <n v="7.0000000000000007E-2"/>
    <n v="-30.96"/>
    <n v="-6.9710888948932723E-2"/>
    <n v="74.02"/>
    <x v="1"/>
    <x v="5"/>
    <s v="2023"/>
    <x v="5"/>
  </r>
  <r>
    <x v="247"/>
    <x v="221"/>
    <d v="2023-05-24T00:00:00"/>
    <s v="Standard Class"/>
    <x v="6"/>
    <x v="1"/>
    <x v="6"/>
    <x v="4"/>
    <x v="5"/>
    <x v="0"/>
    <x v="2"/>
    <n v="1329.23"/>
    <n v="8"/>
    <n v="0.28999999999999998"/>
    <n v="61"/>
    <n v="4.5891230261128624E-2"/>
    <n v="166.15375"/>
    <x v="0"/>
    <x v="9"/>
    <s v="2023"/>
    <x v="9"/>
  </r>
  <r>
    <x v="248"/>
    <x v="108"/>
    <d v="2022-04-01T00:00:00"/>
    <s v="Standard Class"/>
    <x v="5"/>
    <x v="0"/>
    <x v="2"/>
    <x v="1"/>
    <x v="5"/>
    <x v="3"/>
    <x v="1"/>
    <n v="1536.05"/>
    <n v="1"/>
    <n v="0.19"/>
    <n v="712.14"/>
    <n v="0.46361772077731844"/>
    <n v="1536.05"/>
    <x v="0"/>
    <x v="3"/>
    <s v="2022"/>
    <x v="3"/>
  </r>
  <r>
    <x v="249"/>
    <x v="222"/>
    <d v="2021-07-13T00:00:00"/>
    <s v="Standard Class"/>
    <x v="4"/>
    <x v="0"/>
    <x v="7"/>
    <x v="5"/>
    <x v="5"/>
    <x v="3"/>
    <x v="6"/>
    <n v="341.61"/>
    <n v="2"/>
    <n v="0.27"/>
    <n v="108.97"/>
    <n v="0.31898949093996076"/>
    <n v="170.80500000000001"/>
    <x v="0"/>
    <x v="1"/>
    <s v="2021"/>
    <x v="1"/>
  </r>
  <r>
    <x v="250"/>
    <x v="223"/>
    <d v="2022-11-09T00:00:00"/>
    <s v="Same Day"/>
    <x v="7"/>
    <x v="1"/>
    <x v="0"/>
    <x v="0"/>
    <x v="0"/>
    <x v="1"/>
    <x v="1"/>
    <n v="97.28"/>
    <n v="8"/>
    <n v="0.26"/>
    <n v="774.76"/>
    <n v="7.9642269736842106"/>
    <n v="12.16"/>
    <x v="0"/>
    <x v="7"/>
    <s v="2022"/>
    <x v="7"/>
  </r>
  <r>
    <x v="251"/>
    <x v="224"/>
    <d v="2021-08-10T00:00:00"/>
    <s v="First Class"/>
    <x v="2"/>
    <x v="0"/>
    <x v="5"/>
    <x v="8"/>
    <x v="4"/>
    <x v="0"/>
    <x v="3"/>
    <n v="884.78"/>
    <n v="1"/>
    <n v="0.54"/>
    <n v="41.48"/>
    <n v="4.6881710707746556E-2"/>
    <n v="884.78"/>
    <x v="0"/>
    <x v="10"/>
    <s v="2021"/>
    <x v="10"/>
  </r>
  <r>
    <x v="252"/>
    <x v="225"/>
    <d v="2022-04-20T00:00:00"/>
    <s v="Standard Class"/>
    <x v="5"/>
    <x v="1"/>
    <x v="0"/>
    <x v="0"/>
    <x v="2"/>
    <x v="3"/>
    <x v="2"/>
    <n v="1550.31"/>
    <n v="7"/>
    <n v="0.28999999999999998"/>
    <n v="523.07000000000005"/>
    <n v="0.33739703672168797"/>
    <n v="221.47285714285712"/>
    <x v="0"/>
    <x v="1"/>
    <s v="2022"/>
    <x v="1"/>
  </r>
  <r>
    <x v="253"/>
    <x v="226"/>
    <d v="2022-10-20T00:00:00"/>
    <s v="Same Day"/>
    <x v="3"/>
    <x v="1"/>
    <x v="2"/>
    <x v="4"/>
    <x v="4"/>
    <x v="2"/>
    <x v="0"/>
    <n v="1305"/>
    <n v="5"/>
    <n v="0.49"/>
    <n v="373.9"/>
    <n v="0.28651340996168578"/>
    <n v="261"/>
    <x v="0"/>
    <x v="0"/>
    <s v="2022"/>
    <x v="0"/>
  </r>
  <r>
    <x v="254"/>
    <x v="227"/>
    <d v="2023-08-06T00:00:00"/>
    <s v="First Class"/>
    <x v="1"/>
    <x v="0"/>
    <x v="6"/>
    <x v="2"/>
    <x v="5"/>
    <x v="2"/>
    <x v="5"/>
    <n v="1407"/>
    <n v="4"/>
    <n v="0.14000000000000001"/>
    <n v="496.87"/>
    <n v="0.35314143567874912"/>
    <n v="351.75"/>
    <x v="0"/>
    <x v="4"/>
    <s v="2023"/>
    <x v="4"/>
  </r>
  <r>
    <x v="255"/>
    <x v="210"/>
    <d v="2021-10-18T00:00:00"/>
    <s v="First Class"/>
    <x v="0"/>
    <x v="0"/>
    <x v="1"/>
    <x v="2"/>
    <x v="4"/>
    <x v="3"/>
    <x v="4"/>
    <n v="811.65"/>
    <n v="8"/>
    <n v="0.21"/>
    <n v="443.96"/>
    <n v="0.54698453767017807"/>
    <n v="101.45625"/>
    <x v="0"/>
    <x v="9"/>
    <s v="2021"/>
    <x v="9"/>
  </r>
  <r>
    <x v="256"/>
    <x v="228"/>
    <d v="2021-10-09T00:00:00"/>
    <s v="First Class"/>
    <x v="0"/>
    <x v="0"/>
    <x v="4"/>
    <x v="7"/>
    <x v="4"/>
    <x v="3"/>
    <x v="5"/>
    <n v="477.54"/>
    <n v="8"/>
    <n v="0.05"/>
    <n v="506.75"/>
    <n v="1.0611676508774133"/>
    <n v="59.692500000000003"/>
    <x v="0"/>
    <x v="11"/>
    <s v="2021"/>
    <x v="11"/>
  </r>
  <r>
    <x v="257"/>
    <x v="229"/>
    <d v="2023-01-06T00:00:00"/>
    <s v="First Class"/>
    <x v="7"/>
    <x v="0"/>
    <x v="1"/>
    <x v="1"/>
    <x v="0"/>
    <x v="0"/>
    <x v="6"/>
    <n v="1068.24"/>
    <n v="3"/>
    <n v="0.25"/>
    <n v="705.55"/>
    <n v="0.66047891859507224"/>
    <n v="356.08"/>
    <x v="0"/>
    <x v="8"/>
    <s v="2023"/>
    <x v="8"/>
  </r>
  <r>
    <x v="258"/>
    <x v="230"/>
    <d v="2021-01-08T00:00:00"/>
    <s v="Standard Class"/>
    <x v="7"/>
    <x v="1"/>
    <x v="0"/>
    <x v="2"/>
    <x v="2"/>
    <x v="3"/>
    <x v="5"/>
    <n v="416.69"/>
    <n v="1"/>
    <n v="0.4"/>
    <n v="363.47"/>
    <n v="0.87227915236746745"/>
    <n v="416.69"/>
    <x v="0"/>
    <x v="2"/>
    <s v="2021"/>
    <x v="2"/>
  </r>
  <r>
    <x v="259"/>
    <x v="231"/>
    <d v="2022-07-22T00:00:00"/>
    <s v="Second Class"/>
    <x v="4"/>
    <x v="2"/>
    <x v="6"/>
    <x v="6"/>
    <x v="2"/>
    <x v="0"/>
    <x v="1"/>
    <n v="1455.2"/>
    <n v="2"/>
    <n v="0.5"/>
    <n v="-132.15"/>
    <n v="-9.0812259483232544E-2"/>
    <n v="727.6"/>
    <x v="1"/>
    <x v="1"/>
    <s v="2022"/>
    <x v="1"/>
  </r>
  <r>
    <x v="260"/>
    <x v="232"/>
    <d v="2023-01-17T00:00:00"/>
    <s v="Second Class"/>
    <x v="7"/>
    <x v="1"/>
    <x v="5"/>
    <x v="1"/>
    <x v="5"/>
    <x v="2"/>
    <x v="6"/>
    <n v="401.96"/>
    <n v="1"/>
    <n v="0.34"/>
    <n v="70.83"/>
    <n v="0.17621156333963578"/>
    <n v="401.96"/>
    <x v="0"/>
    <x v="0"/>
    <s v="2023"/>
    <x v="0"/>
  </r>
  <r>
    <x v="261"/>
    <x v="233"/>
    <d v="2022-07-06T00:00:00"/>
    <s v="Standard Class"/>
    <x v="1"/>
    <x v="0"/>
    <x v="6"/>
    <x v="5"/>
    <x v="3"/>
    <x v="0"/>
    <x v="0"/>
    <n v="589.61"/>
    <n v="9"/>
    <n v="0.38"/>
    <n v="508"/>
    <n v="0.86158647241396857"/>
    <n v="65.512222222222221"/>
    <x v="0"/>
    <x v="5"/>
    <s v="2022"/>
    <x v="5"/>
  </r>
  <r>
    <x v="262"/>
    <x v="234"/>
    <d v="2022-01-20T00:00:00"/>
    <s v="Same Day"/>
    <x v="6"/>
    <x v="0"/>
    <x v="1"/>
    <x v="7"/>
    <x v="0"/>
    <x v="2"/>
    <x v="4"/>
    <n v="1018"/>
    <n v="6"/>
    <n v="0.11"/>
    <n v="294"/>
    <n v="0.28880157170923382"/>
    <n v="169.66666666666666"/>
    <x v="0"/>
    <x v="5"/>
    <s v="2022"/>
    <x v="5"/>
  </r>
  <r>
    <x v="263"/>
    <x v="235"/>
    <d v="2023-04-10T00:00:00"/>
    <s v="First Class"/>
    <x v="6"/>
    <x v="1"/>
    <x v="1"/>
    <x v="6"/>
    <x v="1"/>
    <x v="2"/>
    <x v="0"/>
    <n v="978.55"/>
    <n v="7"/>
    <n v="0.02"/>
    <n v="348.55"/>
    <n v="0.35619028153901183"/>
    <n v="139.79285714285714"/>
    <x v="0"/>
    <x v="9"/>
    <s v="2023"/>
    <x v="9"/>
  </r>
  <r>
    <x v="264"/>
    <x v="236"/>
    <d v="2022-01-08T00:00:00"/>
    <s v="Standard Class"/>
    <x v="6"/>
    <x v="0"/>
    <x v="1"/>
    <x v="7"/>
    <x v="5"/>
    <x v="0"/>
    <x v="5"/>
    <n v="1205.69"/>
    <n v="3"/>
    <n v="0.48"/>
    <n v="396.58"/>
    <n v="0.32892368685151241"/>
    <n v="401.8966666666667"/>
    <x v="0"/>
    <x v="2"/>
    <s v="2022"/>
    <x v="2"/>
  </r>
  <r>
    <x v="265"/>
    <x v="237"/>
    <d v="2022-12-13T00:00:00"/>
    <s v="Standard Class"/>
    <x v="4"/>
    <x v="0"/>
    <x v="5"/>
    <x v="0"/>
    <x v="1"/>
    <x v="0"/>
    <x v="2"/>
    <n v="881"/>
    <n v="8"/>
    <n v="0.1"/>
    <n v="182.63"/>
    <n v="0.20729852440408625"/>
    <n v="110.125"/>
    <x v="0"/>
    <x v="5"/>
    <s v="2022"/>
    <x v="5"/>
  </r>
  <r>
    <x v="266"/>
    <x v="238"/>
    <d v="2022-04-11T00:00:00"/>
    <s v="Standard Class"/>
    <x v="6"/>
    <x v="2"/>
    <x v="8"/>
    <x v="1"/>
    <x v="4"/>
    <x v="0"/>
    <x v="6"/>
    <n v="1839.75"/>
    <n v="7"/>
    <n v="0.05"/>
    <n v="573.9"/>
    <n v="0.31194455768446799"/>
    <n v="262.82142857142856"/>
    <x v="0"/>
    <x v="2"/>
    <s v="2022"/>
    <x v="2"/>
  </r>
  <r>
    <x v="267"/>
    <x v="239"/>
    <d v="2021-01-28T00:00:00"/>
    <s v="First Class"/>
    <x v="7"/>
    <x v="0"/>
    <x v="0"/>
    <x v="2"/>
    <x v="2"/>
    <x v="3"/>
    <x v="4"/>
    <n v="1681.47"/>
    <n v="7"/>
    <n v="0.56000000000000005"/>
    <n v="523.53"/>
    <n v="0.3113525665043087"/>
    <n v="240.21"/>
    <x v="0"/>
    <x v="10"/>
    <s v="2021"/>
    <x v="10"/>
  </r>
  <r>
    <x v="268"/>
    <x v="240"/>
    <d v="2022-06-16T00:00:00"/>
    <s v="Same Day"/>
    <x v="7"/>
    <x v="1"/>
    <x v="2"/>
    <x v="5"/>
    <x v="2"/>
    <x v="2"/>
    <x v="6"/>
    <n v="1759.44"/>
    <n v="5"/>
    <n v="0.57999999999999996"/>
    <n v="514.29999999999995"/>
    <n v="0.29230891647342333"/>
    <n v="351.88800000000003"/>
    <x v="0"/>
    <x v="11"/>
    <s v="2022"/>
    <x v="11"/>
  </r>
  <r>
    <x v="269"/>
    <x v="241"/>
    <d v="2021-02-20T00:00:00"/>
    <s v="Same Day"/>
    <x v="5"/>
    <x v="2"/>
    <x v="1"/>
    <x v="8"/>
    <x v="2"/>
    <x v="2"/>
    <x v="2"/>
    <n v="1262.74"/>
    <n v="7"/>
    <n v="0.37"/>
    <n v="515.30999999999995"/>
    <n v="0.40808875936455641"/>
    <n v="180.39142857142858"/>
    <x v="0"/>
    <x v="4"/>
    <s v="2021"/>
    <x v="4"/>
  </r>
  <r>
    <x v="270"/>
    <x v="242"/>
    <d v="2023-07-21T00:00:00"/>
    <s v="Second Class"/>
    <x v="6"/>
    <x v="0"/>
    <x v="1"/>
    <x v="5"/>
    <x v="3"/>
    <x v="2"/>
    <x v="2"/>
    <n v="1273.67"/>
    <n v="5"/>
    <n v="0.23"/>
    <n v="690.36"/>
    <n v="0.54202422919594551"/>
    <n v="254.73400000000001"/>
    <x v="0"/>
    <x v="9"/>
    <s v="2023"/>
    <x v="9"/>
  </r>
  <r>
    <x v="271"/>
    <x v="243"/>
    <d v="2022-08-26T00:00:00"/>
    <s v="Standard Class"/>
    <x v="4"/>
    <x v="2"/>
    <x v="3"/>
    <x v="7"/>
    <x v="3"/>
    <x v="3"/>
    <x v="4"/>
    <n v="1222.31"/>
    <n v="4"/>
    <n v="0.5"/>
    <n v="395"/>
    <n v="0.3231586095180437"/>
    <n v="305.57749999999999"/>
    <x v="0"/>
    <x v="10"/>
    <s v="2022"/>
    <x v="10"/>
  </r>
  <r>
    <x v="272"/>
    <x v="244"/>
    <d v="2022-01-09T00:00:00"/>
    <s v="Standard Class"/>
    <x v="1"/>
    <x v="1"/>
    <x v="6"/>
    <x v="5"/>
    <x v="5"/>
    <x v="2"/>
    <x v="5"/>
    <n v="875"/>
    <n v="6"/>
    <n v="0.12"/>
    <n v="767.07"/>
    <n v="0.87665142857142864"/>
    <n v="145.83333333333334"/>
    <x v="0"/>
    <x v="5"/>
    <s v="2022"/>
    <x v="5"/>
  </r>
  <r>
    <x v="273"/>
    <x v="245"/>
    <d v="2022-03-05T00:00:00"/>
    <s v="Standard Class"/>
    <x v="3"/>
    <x v="0"/>
    <x v="4"/>
    <x v="8"/>
    <x v="4"/>
    <x v="0"/>
    <x v="6"/>
    <n v="650.99"/>
    <n v="3"/>
    <n v="0.26"/>
    <n v="-80.81"/>
    <n v="-0.12413401127513479"/>
    <n v="216.99666666666667"/>
    <x v="1"/>
    <x v="9"/>
    <s v="2022"/>
    <x v="9"/>
  </r>
  <r>
    <x v="274"/>
    <x v="246"/>
    <d v="2022-09-13T00:00:00"/>
    <s v="Same Day"/>
    <x v="0"/>
    <x v="2"/>
    <x v="1"/>
    <x v="7"/>
    <x v="2"/>
    <x v="2"/>
    <x v="3"/>
    <n v="1188.0899999999999"/>
    <n v="9"/>
    <n v="0.21"/>
    <n v="432"/>
    <n v="0.36360881751382473"/>
    <n v="132.01"/>
    <x v="0"/>
    <x v="7"/>
    <s v="2022"/>
    <x v="7"/>
  </r>
  <r>
    <x v="275"/>
    <x v="247"/>
    <d v="2021-09-19T00:00:00"/>
    <s v="Same Day"/>
    <x v="1"/>
    <x v="1"/>
    <x v="3"/>
    <x v="4"/>
    <x v="4"/>
    <x v="1"/>
    <x v="0"/>
    <n v="60.81"/>
    <n v="7"/>
    <n v="0.55000000000000004"/>
    <n v="516.92999999999995"/>
    <n v="8.5007400098667976"/>
    <n v="8.6871428571428577"/>
    <x v="0"/>
    <x v="10"/>
    <s v="2021"/>
    <x v="10"/>
  </r>
  <r>
    <x v="276"/>
    <x v="248"/>
    <d v="2021-10-17T00:00:00"/>
    <s v="Second Class"/>
    <x v="0"/>
    <x v="0"/>
    <x v="8"/>
    <x v="5"/>
    <x v="2"/>
    <x v="2"/>
    <x v="2"/>
    <n v="24.84"/>
    <n v="7"/>
    <n v="0.55000000000000004"/>
    <n v="277"/>
    <n v="11.151368760064413"/>
    <n v="3.5485714285714285"/>
    <x v="0"/>
    <x v="3"/>
    <s v="2021"/>
    <x v="3"/>
  </r>
  <r>
    <x v="277"/>
    <x v="249"/>
    <d v="2022-02-24T00:00:00"/>
    <s v="Standard Class"/>
    <x v="6"/>
    <x v="1"/>
    <x v="4"/>
    <x v="8"/>
    <x v="0"/>
    <x v="3"/>
    <x v="2"/>
    <n v="1704.77"/>
    <n v="7"/>
    <n v="0.39"/>
    <n v="88.21"/>
    <n v="5.1743050382162988E-2"/>
    <n v="243.53857142857143"/>
    <x v="0"/>
    <x v="3"/>
    <s v="2022"/>
    <x v="3"/>
  </r>
  <r>
    <x v="278"/>
    <x v="95"/>
    <d v="2021-09-17T00:00:00"/>
    <s v="Same Day"/>
    <x v="2"/>
    <x v="0"/>
    <x v="3"/>
    <x v="2"/>
    <x v="3"/>
    <x v="3"/>
    <x v="5"/>
    <n v="102.38"/>
    <n v="5"/>
    <n v="7.0000000000000007E-2"/>
    <n v="350.04"/>
    <n v="3.4190271537409656"/>
    <n v="20.475999999999999"/>
    <x v="0"/>
    <x v="6"/>
    <s v="2021"/>
    <x v="6"/>
  </r>
  <r>
    <x v="279"/>
    <x v="250"/>
    <d v="2023-01-29T00:00:00"/>
    <s v="Standard Class"/>
    <x v="3"/>
    <x v="0"/>
    <x v="0"/>
    <x v="6"/>
    <x v="3"/>
    <x v="0"/>
    <x v="4"/>
    <n v="1054.3399999999999"/>
    <n v="9"/>
    <n v="0.28999999999999998"/>
    <n v="164.75"/>
    <n v="0.15625889181857847"/>
    <n v="117.14888888888888"/>
    <x v="0"/>
    <x v="10"/>
    <s v="2023"/>
    <x v="10"/>
  </r>
  <r>
    <x v="280"/>
    <x v="11"/>
    <d v="2021-04-15T00:00:00"/>
    <s v="Standard Class"/>
    <x v="3"/>
    <x v="2"/>
    <x v="8"/>
    <x v="0"/>
    <x v="2"/>
    <x v="2"/>
    <x v="1"/>
    <n v="1233.83"/>
    <n v="2"/>
    <n v="0.15"/>
    <n v="709"/>
    <n v="0.57463345841809654"/>
    <n v="616.91499999999996"/>
    <x v="0"/>
    <x v="7"/>
    <s v="2021"/>
    <x v="7"/>
  </r>
  <r>
    <x v="281"/>
    <x v="251"/>
    <d v="2023-04-08T00:00:00"/>
    <s v="Same Day"/>
    <x v="5"/>
    <x v="0"/>
    <x v="0"/>
    <x v="5"/>
    <x v="2"/>
    <x v="2"/>
    <x v="2"/>
    <n v="404.36"/>
    <n v="6"/>
    <n v="0.53"/>
    <n v="157"/>
    <n v="0.38826788010683549"/>
    <n v="67.393333333333331"/>
    <x v="0"/>
    <x v="10"/>
    <s v="2023"/>
    <x v="10"/>
  </r>
  <r>
    <x v="282"/>
    <x v="104"/>
    <d v="2021-12-16T00:00:00"/>
    <s v="Standard Class"/>
    <x v="1"/>
    <x v="2"/>
    <x v="2"/>
    <x v="7"/>
    <x v="2"/>
    <x v="2"/>
    <x v="0"/>
    <n v="1792.5"/>
    <n v="1"/>
    <n v="0.08"/>
    <n v="-24"/>
    <n v="-1.3389121338912133E-2"/>
    <n v="1792.5"/>
    <x v="1"/>
    <x v="1"/>
    <s v="2021"/>
    <x v="1"/>
  </r>
  <r>
    <x v="283"/>
    <x v="252"/>
    <d v="2022-07-17T00:00:00"/>
    <s v="Standard Class"/>
    <x v="2"/>
    <x v="1"/>
    <x v="1"/>
    <x v="5"/>
    <x v="1"/>
    <x v="2"/>
    <x v="3"/>
    <n v="388.29"/>
    <n v="3"/>
    <n v="0.03"/>
    <n v="376"/>
    <n v="0.96834839939220685"/>
    <n v="129.43"/>
    <x v="0"/>
    <x v="3"/>
    <s v="2022"/>
    <x v="3"/>
  </r>
  <r>
    <x v="284"/>
    <x v="253"/>
    <d v="2021-08-06T00:00:00"/>
    <s v="Same Day"/>
    <x v="0"/>
    <x v="1"/>
    <x v="8"/>
    <x v="4"/>
    <x v="0"/>
    <x v="2"/>
    <x v="1"/>
    <n v="1770"/>
    <n v="6"/>
    <n v="0.42"/>
    <n v="195.99"/>
    <n v="0.11072881355932204"/>
    <n v="295"/>
    <x v="0"/>
    <x v="8"/>
    <s v="2021"/>
    <x v="8"/>
  </r>
  <r>
    <x v="285"/>
    <x v="96"/>
    <d v="2022-01-22T00:00:00"/>
    <s v="Standard Class"/>
    <x v="0"/>
    <x v="2"/>
    <x v="1"/>
    <x v="0"/>
    <x v="4"/>
    <x v="2"/>
    <x v="1"/>
    <n v="1528.35"/>
    <n v="5"/>
    <n v="0.27"/>
    <n v="-104"/>
    <n v="-6.8047240488108091E-2"/>
    <n v="305.66999999999996"/>
    <x v="1"/>
    <x v="5"/>
    <s v="2022"/>
    <x v="5"/>
  </r>
  <r>
    <x v="286"/>
    <x v="254"/>
    <d v="2023-01-26T00:00:00"/>
    <s v="Same Day"/>
    <x v="7"/>
    <x v="0"/>
    <x v="0"/>
    <x v="7"/>
    <x v="3"/>
    <x v="1"/>
    <x v="5"/>
    <n v="489.08"/>
    <n v="9"/>
    <n v="0.5"/>
    <n v="364.84"/>
    <n v="0.745972029115891"/>
    <n v="54.342222222222219"/>
    <x v="0"/>
    <x v="6"/>
    <s v="2023"/>
    <x v="6"/>
  </r>
  <r>
    <x v="287"/>
    <x v="255"/>
    <d v="2021-09-29T00:00:00"/>
    <s v="Same Day"/>
    <x v="6"/>
    <x v="0"/>
    <x v="5"/>
    <x v="0"/>
    <x v="2"/>
    <x v="3"/>
    <x v="3"/>
    <n v="310"/>
    <n v="6"/>
    <n v="0.04"/>
    <n v="337.85"/>
    <n v="1.0898387096774194"/>
    <n v="51.666666666666664"/>
    <x v="0"/>
    <x v="4"/>
    <s v="2021"/>
    <x v="4"/>
  </r>
  <r>
    <x v="288"/>
    <x v="256"/>
    <d v="2021-05-14T00:00:00"/>
    <s v="Standard Class"/>
    <x v="6"/>
    <x v="1"/>
    <x v="0"/>
    <x v="6"/>
    <x v="2"/>
    <x v="3"/>
    <x v="2"/>
    <n v="639.29999999999995"/>
    <n v="4"/>
    <n v="0.48"/>
    <n v="-26.8"/>
    <n v="-4.1920850930705467E-2"/>
    <n v="159.82499999999999"/>
    <x v="1"/>
    <x v="3"/>
    <s v="2021"/>
    <x v="3"/>
  </r>
  <r>
    <x v="289"/>
    <x v="257"/>
    <d v="2022-06-07T00:00:00"/>
    <s v="Standard Class"/>
    <x v="2"/>
    <x v="1"/>
    <x v="6"/>
    <x v="6"/>
    <x v="4"/>
    <x v="1"/>
    <x v="0"/>
    <n v="802"/>
    <n v="4"/>
    <n v="0.02"/>
    <n v="398"/>
    <n v="0.49625935162094764"/>
    <n v="200.5"/>
    <x v="0"/>
    <x v="1"/>
    <s v="2022"/>
    <x v="1"/>
  </r>
  <r>
    <x v="290"/>
    <x v="258"/>
    <d v="2021-06-13T00:00:00"/>
    <s v="Same Day"/>
    <x v="6"/>
    <x v="1"/>
    <x v="7"/>
    <x v="5"/>
    <x v="1"/>
    <x v="2"/>
    <x v="6"/>
    <n v="499"/>
    <n v="6"/>
    <n v="0.02"/>
    <n v="367"/>
    <n v="0.73547094188376749"/>
    <n v="83.166666666666671"/>
    <x v="0"/>
    <x v="11"/>
    <s v="2021"/>
    <x v="11"/>
  </r>
  <r>
    <x v="291"/>
    <x v="259"/>
    <d v="2021-11-12T00:00:00"/>
    <s v="Second Class"/>
    <x v="2"/>
    <x v="0"/>
    <x v="2"/>
    <x v="4"/>
    <x v="5"/>
    <x v="2"/>
    <x v="1"/>
    <n v="1998"/>
    <n v="8"/>
    <n v="0.28000000000000003"/>
    <n v="573.61"/>
    <n v="0.28709209209209208"/>
    <n v="249.75"/>
    <x v="0"/>
    <x v="9"/>
    <s v="2021"/>
    <x v="9"/>
  </r>
  <r>
    <x v="292"/>
    <x v="133"/>
    <d v="2022-03-28T00:00:00"/>
    <s v="Same Day"/>
    <x v="7"/>
    <x v="0"/>
    <x v="8"/>
    <x v="3"/>
    <x v="2"/>
    <x v="0"/>
    <x v="2"/>
    <n v="467"/>
    <n v="3"/>
    <n v="0.13"/>
    <n v="161.57"/>
    <n v="0.34597430406852248"/>
    <n v="155.66666666666666"/>
    <x v="0"/>
    <x v="9"/>
    <s v="2022"/>
    <x v="9"/>
  </r>
  <r>
    <x v="293"/>
    <x v="260"/>
    <d v="2022-07-20T00:00:00"/>
    <s v="Second Class"/>
    <x v="4"/>
    <x v="0"/>
    <x v="1"/>
    <x v="3"/>
    <x v="5"/>
    <x v="0"/>
    <x v="2"/>
    <n v="1663"/>
    <n v="6"/>
    <n v="0.36"/>
    <n v="49"/>
    <n v="2.9464822609741433E-2"/>
    <n v="277.16666666666669"/>
    <x v="0"/>
    <x v="6"/>
    <s v="2022"/>
    <x v="6"/>
  </r>
  <r>
    <x v="294"/>
    <x v="261"/>
    <d v="2022-10-03T00:00:00"/>
    <s v="Same Day"/>
    <x v="1"/>
    <x v="0"/>
    <x v="6"/>
    <x v="8"/>
    <x v="4"/>
    <x v="3"/>
    <x v="3"/>
    <n v="326.64"/>
    <n v="6"/>
    <n v="0.02"/>
    <n v="751.22"/>
    <n v="2.2998408033308841"/>
    <n v="54.44"/>
    <x v="0"/>
    <x v="9"/>
    <s v="2022"/>
    <x v="9"/>
  </r>
  <r>
    <x v="295"/>
    <x v="262"/>
    <d v="2022-11-09T00:00:00"/>
    <s v="Standard Class"/>
    <x v="5"/>
    <x v="2"/>
    <x v="0"/>
    <x v="2"/>
    <x v="3"/>
    <x v="1"/>
    <x v="1"/>
    <n v="1960.69"/>
    <n v="1"/>
    <n v="0.02"/>
    <n v="361.22"/>
    <n v="0.18423106151405882"/>
    <n v="1960.69"/>
    <x v="0"/>
    <x v="4"/>
    <s v="2022"/>
    <x v="4"/>
  </r>
  <r>
    <x v="296"/>
    <x v="263"/>
    <d v="2023-04-26T00:00:00"/>
    <s v="Standard Class"/>
    <x v="7"/>
    <x v="1"/>
    <x v="0"/>
    <x v="0"/>
    <x v="1"/>
    <x v="1"/>
    <x v="6"/>
    <n v="458.79"/>
    <n v="9"/>
    <n v="0.44"/>
    <n v="-173"/>
    <n v="-0.37707883781250678"/>
    <n v="50.976666666666667"/>
    <x v="1"/>
    <x v="10"/>
    <s v="2023"/>
    <x v="10"/>
  </r>
  <r>
    <x v="297"/>
    <x v="264"/>
    <d v="2021-03-09T00:00:00"/>
    <s v="Standard Class"/>
    <x v="3"/>
    <x v="1"/>
    <x v="2"/>
    <x v="5"/>
    <x v="4"/>
    <x v="0"/>
    <x v="1"/>
    <n v="849.16"/>
    <n v="6"/>
    <n v="0.13"/>
    <n v="620.71"/>
    <n v="0.73096942861180469"/>
    <n v="141.52666666666667"/>
    <x v="0"/>
    <x v="5"/>
    <s v="2021"/>
    <x v="5"/>
  </r>
  <r>
    <x v="298"/>
    <x v="51"/>
    <d v="2021-12-30T00:00:00"/>
    <s v="Standard Class"/>
    <x v="4"/>
    <x v="1"/>
    <x v="3"/>
    <x v="8"/>
    <x v="3"/>
    <x v="0"/>
    <x v="3"/>
    <n v="1122"/>
    <n v="3"/>
    <n v="0.39"/>
    <n v="-3"/>
    <n v="-2.6737967914438501E-3"/>
    <n v="374"/>
    <x v="1"/>
    <x v="6"/>
    <s v="2021"/>
    <x v="6"/>
  </r>
  <r>
    <x v="299"/>
    <x v="67"/>
    <d v="2021-01-03T00:00:00"/>
    <s v="Standard Class"/>
    <x v="3"/>
    <x v="2"/>
    <x v="5"/>
    <x v="3"/>
    <x v="5"/>
    <x v="3"/>
    <x v="6"/>
    <n v="249.37"/>
    <n v="6"/>
    <n v="0.45"/>
    <n v="586"/>
    <n v="2.3499218029434172"/>
    <n v="41.561666666666667"/>
    <x v="0"/>
    <x v="10"/>
    <s v="2021"/>
    <x v="10"/>
  </r>
  <r>
    <x v="300"/>
    <x v="265"/>
    <d v="2021-01-11T00:00:00"/>
    <s v="Standard Class"/>
    <x v="1"/>
    <x v="2"/>
    <x v="8"/>
    <x v="4"/>
    <x v="0"/>
    <x v="3"/>
    <x v="0"/>
    <n v="1635.47"/>
    <n v="7"/>
    <n v="0.04"/>
    <n v="505"/>
    <n v="0.30877973915755103"/>
    <n v="233.63857142857142"/>
    <x v="0"/>
    <x v="4"/>
    <s v="2021"/>
    <x v="4"/>
  </r>
  <r>
    <x v="301"/>
    <x v="266"/>
    <d v="2021-02-08T00:00:00"/>
    <s v="Same Day"/>
    <x v="3"/>
    <x v="1"/>
    <x v="8"/>
    <x v="4"/>
    <x v="2"/>
    <x v="3"/>
    <x v="4"/>
    <n v="556.62"/>
    <n v="9"/>
    <n v="0.46"/>
    <n v="768.81"/>
    <n v="1.3812115985771261"/>
    <n v="61.846666666666664"/>
    <x v="0"/>
    <x v="10"/>
    <s v="2021"/>
    <x v="10"/>
  </r>
  <r>
    <x v="302"/>
    <x v="267"/>
    <d v="2022-08-23T00:00:00"/>
    <s v="Same Day"/>
    <x v="5"/>
    <x v="1"/>
    <x v="2"/>
    <x v="6"/>
    <x v="3"/>
    <x v="1"/>
    <x v="1"/>
    <n v="1103"/>
    <n v="1"/>
    <n v="0.16"/>
    <n v="765.58"/>
    <n v="0.69408884859474163"/>
    <n v="1103"/>
    <x v="0"/>
    <x v="5"/>
    <s v="2022"/>
    <x v="5"/>
  </r>
  <r>
    <x v="303"/>
    <x v="268"/>
    <d v="2023-06-15T00:00:00"/>
    <s v="Same Day"/>
    <x v="0"/>
    <x v="2"/>
    <x v="2"/>
    <x v="5"/>
    <x v="2"/>
    <x v="0"/>
    <x v="4"/>
    <n v="1103.77"/>
    <n v="4"/>
    <n v="0.23"/>
    <n v="74"/>
    <n v="6.7042952789077431E-2"/>
    <n v="275.9425"/>
    <x v="0"/>
    <x v="2"/>
    <s v="2023"/>
    <x v="2"/>
  </r>
  <r>
    <x v="304"/>
    <x v="269"/>
    <d v="2023-02-14T00:00:00"/>
    <s v="Same Day"/>
    <x v="4"/>
    <x v="0"/>
    <x v="2"/>
    <x v="1"/>
    <x v="3"/>
    <x v="2"/>
    <x v="3"/>
    <n v="1209.25"/>
    <n v="2"/>
    <n v="0.05"/>
    <n v="566.45000000000005"/>
    <n v="0.46843084556543318"/>
    <n v="604.625"/>
    <x v="0"/>
    <x v="2"/>
    <s v="2023"/>
    <x v="2"/>
  </r>
  <r>
    <x v="305"/>
    <x v="270"/>
    <d v="2022-10-10T00:00:00"/>
    <s v="Standard Class"/>
    <x v="7"/>
    <x v="1"/>
    <x v="5"/>
    <x v="3"/>
    <x v="0"/>
    <x v="3"/>
    <x v="6"/>
    <n v="120.42"/>
    <n v="6"/>
    <n v="0.5"/>
    <n v="117"/>
    <n v="0.97159940209267559"/>
    <n v="20.07"/>
    <x v="0"/>
    <x v="10"/>
    <s v="2022"/>
    <x v="10"/>
  </r>
  <r>
    <x v="306"/>
    <x v="271"/>
    <d v="2023-02-19T00:00:00"/>
    <s v="Standard Class"/>
    <x v="4"/>
    <x v="0"/>
    <x v="4"/>
    <x v="3"/>
    <x v="2"/>
    <x v="3"/>
    <x v="4"/>
    <n v="346"/>
    <n v="5"/>
    <n v="0.34"/>
    <n v="429.2"/>
    <n v="1.2404624277456646"/>
    <n v="69.2"/>
    <x v="0"/>
    <x v="6"/>
    <s v="2023"/>
    <x v="6"/>
  </r>
  <r>
    <x v="307"/>
    <x v="272"/>
    <d v="2021-06-22T00:00:00"/>
    <s v="Second Class"/>
    <x v="7"/>
    <x v="1"/>
    <x v="5"/>
    <x v="5"/>
    <x v="2"/>
    <x v="2"/>
    <x v="4"/>
    <n v="330.77"/>
    <n v="5"/>
    <n v="0.3"/>
    <n v="397.75"/>
    <n v="1.2024972034948758"/>
    <n v="66.153999999999996"/>
    <x v="0"/>
    <x v="11"/>
    <s v="2021"/>
    <x v="11"/>
  </r>
  <r>
    <x v="308"/>
    <x v="273"/>
    <d v="2023-04-21T00:00:00"/>
    <s v="Same Day"/>
    <x v="4"/>
    <x v="0"/>
    <x v="1"/>
    <x v="4"/>
    <x v="5"/>
    <x v="2"/>
    <x v="6"/>
    <n v="611"/>
    <n v="9"/>
    <n v="0.57999999999999996"/>
    <n v="-145"/>
    <n v="-0.23731587561374795"/>
    <n v="67.888888888888886"/>
    <x v="1"/>
    <x v="5"/>
    <s v="2023"/>
    <x v="5"/>
  </r>
  <r>
    <x v="309"/>
    <x v="274"/>
    <d v="2023-11-06T00:00:00"/>
    <s v="First Class"/>
    <x v="3"/>
    <x v="0"/>
    <x v="6"/>
    <x v="7"/>
    <x v="4"/>
    <x v="3"/>
    <x v="3"/>
    <n v="298.38"/>
    <n v="5"/>
    <n v="0.2"/>
    <n v="-194.82"/>
    <n v="-0.65292579931630801"/>
    <n v="59.676000000000002"/>
    <x v="1"/>
    <x v="1"/>
    <s v="2023"/>
    <x v="1"/>
  </r>
  <r>
    <x v="310"/>
    <x v="275"/>
    <d v="2021-04-07T00:00:00"/>
    <s v="First Class"/>
    <x v="1"/>
    <x v="0"/>
    <x v="1"/>
    <x v="3"/>
    <x v="4"/>
    <x v="0"/>
    <x v="3"/>
    <n v="1844.62"/>
    <n v="4"/>
    <n v="0.53"/>
    <n v="-142.24"/>
    <n v="-7.7110732833862813E-2"/>
    <n v="461.15499999999997"/>
    <x v="1"/>
    <x v="2"/>
    <s v="2021"/>
    <x v="2"/>
  </r>
  <r>
    <x v="311"/>
    <x v="35"/>
    <d v="2022-04-16T00:00:00"/>
    <s v="Same Day"/>
    <x v="2"/>
    <x v="1"/>
    <x v="0"/>
    <x v="1"/>
    <x v="2"/>
    <x v="0"/>
    <x v="2"/>
    <n v="1031"/>
    <n v="1"/>
    <n v="0.43"/>
    <n v="-72.06"/>
    <n v="-6.9893307468477203E-2"/>
    <n v="1031"/>
    <x v="1"/>
    <x v="10"/>
    <s v="2022"/>
    <x v="10"/>
  </r>
  <r>
    <x v="312"/>
    <x v="276"/>
    <d v="2023-04-12T00:00:00"/>
    <s v="Second Class"/>
    <x v="4"/>
    <x v="2"/>
    <x v="5"/>
    <x v="2"/>
    <x v="3"/>
    <x v="1"/>
    <x v="2"/>
    <n v="1250.9100000000001"/>
    <n v="3"/>
    <n v="0.56000000000000005"/>
    <n v="58"/>
    <n v="4.6366245373368184E-2"/>
    <n v="416.97"/>
    <x v="0"/>
    <x v="2"/>
    <s v="2023"/>
    <x v="2"/>
  </r>
  <r>
    <x v="313"/>
    <x v="8"/>
    <d v="2022-04-23T00:00:00"/>
    <s v="Standard Class"/>
    <x v="5"/>
    <x v="0"/>
    <x v="8"/>
    <x v="6"/>
    <x v="0"/>
    <x v="2"/>
    <x v="0"/>
    <n v="721.4"/>
    <n v="9"/>
    <n v="0.54"/>
    <n v="706.96"/>
    <n v="0.97998336567784872"/>
    <n v="80.155555555555551"/>
    <x v="0"/>
    <x v="0"/>
    <s v="2022"/>
    <x v="0"/>
  </r>
  <r>
    <x v="314"/>
    <x v="277"/>
    <d v="2023-04-22T00:00:00"/>
    <s v="Same Day"/>
    <x v="6"/>
    <x v="1"/>
    <x v="2"/>
    <x v="8"/>
    <x v="3"/>
    <x v="2"/>
    <x v="4"/>
    <n v="559.73"/>
    <n v="5"/>
    <n v="0.59"/>
    <n v="318.63"/>
    <n v="0.56925660586354132"/>
    <n v="111.946"/>
    <x v="0"/>
    <x v="11"/>
    <s v="2023"/>
    <x v="11"/>
  </r>
  <r>
    <x v="315"/>
    <x v="278"/>
    <d v="2023-07-26T00:00:00"/>
    <s v="Standard Class"/>
    <x v="6"/>
    <x v="0"/>
    <x v="7"/>
    <x v="4"/>
    <x v="4"/>
    <x v="3"/>
    <x v="0"/>
    <n v="1011"/>
    <n v="9"/>
    <n v="0.08"/>
    <n v="597"/>
    <n v="0.59050445103857563"/>
    <n v="112.33333333333333"/>
    <x v="0"/>
    <x v="2"/>
    <s v="2023"/>
    <x v="2"/>
  </r>
  <r>
    <x v="316"/>
    <x v="279"/>
    <d v="2022-04-21T00:00:00"/>
    <s v="Same Day"/>
    <x v="4"/>
    <x v="1"/>
    <x v="6"/>
    <x v="6"/>
    <x v="4"/>
    <x v="1"/>
    <x v="4"/>
    <n v="596"/>
    <n v="5"/>
    <n v="0.48"/>
    <n v="638.30999999999995"/>
    <n v="1.070989932885906"/>
    <n v="119.2"/>
    <x v="0"/>
    <x v="5"/>
    <s v="2022"/>
    <x v="5"/>
  </r>
  <r>
    <x v="317"/>
    <x v="280"/>
    <d v="2021-03-02T00:00:00"/>
    <s v="Standard Class"/>
    <x v="1"/>
    <x v="2"/>
    <x v="2"/>
    <x v="7"/>
    <x v="4"/>
    <x v="1"/>
    <x v="0"/>
    <n v="694"/>
    <n v="5"/>
    <n v="0.48"/>
    <n v="535"/>
    <n v="0.77089337175792505"/>
    <n v="138.80000000000001"/>
    <x v="0"/>
    <x v="8"/>
    <s v="2021"/>
    <x v="8"/>
  </r>
  <r>
    <x v="318"/>
    <x v="25"/>
    <d v="2021-08-12T00:00:00"/>
    <s v="Second Class"/>
    <x v="5"/>
    <x v="2"/>
    <x v="5"/>
    <x v="8"/>
    <x v="2"/>
    <x v="1"/>
    <x v="4"/>
    <n v="910.97"/>
    <n v="4"/>
    <n v="0.39"/>
    <n v="191"/>
    <n v="0.20966661909832376"/>
    <n v="227.74250000000001"/>
    <x v="0"/>
    <x v="10"/>
    <s v="2021"/>
    <x v="10"/>
  </r>
  <r>
    <x v="319"/>
    <x v="281"/>
    <d v="2021-08-05T00:00:00"/>
    <s v="Standard Class"/>
    <x v="0"/>
    <x v="0"/>
    <x v="3"/>
    <x v="4"/>
    <x v="2"/>
    <x v="3"/>
    <x v="5"/>
    <n v="1016.41"/>
    <n v="6"/>
    <n v="0.17"/>
    <n v="664"/>
    <n v="0.65327968044391538"/>
    <n v="169.40166666666667"/>
    <x v="0"/>
    <x v="3"/>
    <s v="2021"/>
    <x v="3"/>
  </r>
  <r>
    <x v="320"/>
    <x v="282"/>
    <d v="2022-04-21T00:00:00"/>
    <s v="Second Class"/>
    <x v="2"/>
    <x v="1"/>
    <x v="4"/>
    <x v="6"/>
    <x v="2"/>
    <x v="0"/>
    <x v="4"/>
    <n v="1968.78"/>
    <n v="1"/>
    <n v="0.57999999999999996"/>
    <n v="542.04999999999995"/>
    <n v="0.27532278873210819"/>
    <n v="1968.78"/>
    <x v="0"/>
    <x v="10"/>
    <s v="2022"/>
    <x v="10"/>
  </r>
  <r>
    <x v="321"/>
    <x v="283"/>
    <d v="2022-08-10T00:00:00"/>
    <s v="First Class"/>
    <x v="2"/>
    <x v="0"/>
    <x v="2"/>
    <x v="5"/>
    <x v="0"/>
    <x v="3"/>
    <x v="2"/>
    <n v="454.41"/>
    <n v="1"/>
    <n v="0.12"/>
    <n v="543.15"/>
    <n v="1.1952861952861951"/>
    <n v="454.41"/>
    <x v="0"/>
    <x v="8"/>
    <s v="2022"/>
    <x v="8"/>
  </r>
  <r>
    <x v="322"/>
    <x v="284"/>
    <d v="2022-04-10T00:00:00"/>
    <s v="Second Class"/>
    <x v="1"/>
    <x v="0"/>
    <x v="3"/>
    <x v="4"/>
    <x v="4"/>
    <x v="1"/>
    <x v="4"/>
    <n v="981.07"/>
    <n v="5"/>
    <n v="0.3"/>
    <n v="701.57"/>
    <n v="0.71510697503745912"/>
    <n v="196.214"/>
    <x v="0"/>
    <x v="5"/>
    <s v="2022"/>
    <x v="5"/>
  </r>
  <r>
    <x v="323"/>
    <x v="285"/>
    <d v="2021-07-16T00:00:00"/>
    <s v="Standard Class"/>
    <x v="5"/>
    <x v="0"/>
    <x v="6"/>
    <x v="5"/>
    <x v="2"/>
    <x v="3"/>
    <x v="4"/>
    <n v="307.52999999999997"/>
    <n v="6"/>
    <n v="0.31"/>
    <n v="398.66"/>
    <n v="1.2963288134490947"/>
    <n v="51.254999999999995"/>
    <x v="0"/>
    <x v="5"/>
    <s v="2021"/>
    <x v="5"/>
  </r>
  <r>
    <x v="324"/>
    <x v="286"/>
    <d v="2021-10-30T00:00:00"/>
    <s v="Same Day"/>
    <x v="2"/>
    <x v="2"/>
    <x v="1"/>
    <x v="1"/>
    <x v="0"/>
    <x v="1"/>
    <x v="2"/>
    <n v="706.5"/>
    <n v="5"/>
    <n v="0.1"/>
    <n v="328.57"/>
    <n v="0.46506723283793344"/>
    <n v="141.30000000000001"/>
    <x v="0"/>
    <x v="9"/>
    <s v="2021"/>
    <x v="9"/>
  </r>
  <r>
    <x v="325"/>
    <x v="54"/>
    <d v="2022-11-12T00:00:00"/>
    <s v="First Class"/>
    <x v="5"/>
    <x v="1"/>
    <x v="6"/>
    <x v="6"/>
    <x v="2"/>
    <x v="3"/>
    <x v="5"/>
    <n v="1437.45"/>
    <n v="4"/>
    <n v="0.43"/>
    <n v="690"/>
    <n v="0.48001669623291243"/>
    <n v="359.36250000000001"/>
    <x v="0"/>
    <x v="4"/>
    <s v="2022"/>
    <x v="4"/>
  </r>
  <r>
    <x v="326"/>
    <x v="287"/>
    <d v="2021-01-28T00:00:00"/>
    <s v="Same Day"/>
    <x v="3"/>
    <x v="1"/>
    <x v="7"/>
    <x v="1"/>
    <x v="2"/>
    <x v="1"/>
    <x v="3"/>
    <n v="357"/>
    <n v="3"/>
    <n v="0.05"/>
    <n v="254"/>
    <n v="0.71148459383753504"/>
    <n v="119"/>
    <x v="0"/>
    <x v="2"/>
    <s v="2021"/>
    <x v="2"/>
  </r>
  <r>
    <x v="327"/>
    <x v="288"/>
    <d v="2021-08-04T00:00:00"/>
    <s v="Same Day"/>
    <x v="5"/>
    <x v="0"/>
    <x v="1"/>
    <x v="6"/>
    <x v="2"/>
    <x v="3"/>
    <x v="3"/>
    <n v="1167"/>
    <n v="7"/>
    <n v="0.42"/>
    <n v="611.57000000000005"/>
    <n v="0.52405312767780643"/>
    <n v="166.71428571428572"/>
    <x v="0"/>
    <x v="5"/>
    <s v="2021"/>
    <x v="5"/>
  </r>
  <r>
    <x v="328"/>
    <x v="289"/>
    <d v="2023-06-13T00:00:00"/>
    <s v="Same Day"/>
    <x v="6"/>
    <x v="0"/>
    <x v="0"/>
    <x v="4"/>
    <x v="4"/>
    <x v="2"/>
    <x v="3"/>
    <n v="839.24"/>
    <n v="6"/>
    <n v="0.51"/>
    <n v="-146.15"/>
    <n v="-0.17414565559315573"/>
    <n v="139.87333333333333"/>
    <x v="1"/>
    <x v="11"/>
    <s v="2023"/>
    <x v="11"/>
  </r>
  <r>
    <x v="329"/>
    <x v="270"/>
    <d v="2021-04-11T00:00:00"/>
    <s v="Standard Class"/>
    <x v="1"/>
    <x v="0"/>
    <x v="8"/>
    <x v="6"/>
    <x v="0"/>
    <x v="2"/>
    <x v="4"/>
    <n v="113"/>
    <n v="1"/>
    <n v="0.21"/>
    <n v="-199"/>
    <n v="-1.7610619469026549"/>
    <n v="113"/>
    <x v="1"/>
    <x v="10"/>
    <s v="2021"/>
    <x v="10"/>
  </r>
  <r>
    <x v="330"/>
    <x v="290"/>
    <d v="2022-02-20T00:00:00"/>
    <s v="Standard Class"/>
    <x v="6"/>
    <x v="1"/>
    <x v="2"/>
    <x v="7"/>
    <x v="4"/>
    <x v="2"/>
    <x v="1"/>
    <n v="1866.82"/>
    <n v="5"/>
    <n v="0.43"/>
    <n v="328.29"/>
    <n v="0.17585519760876786"/>
    <n v="373.36399999999998"/>
    <x v="0"/>
    <x v="11"/>
    <s v="2022"/>
    <x v="11"/>
  </r>
  <r>
    <x v="331"/>
    <x v="35"/>
    <d v="2021-07-27T00:00:00"/>
    <s v="Standard Class"/>
    <x v="2"/>
    <x v="2"/>
    <x v="6"/>
    <x v="4"/>
    <x v="5"/>
    <x v="2"/>
    <x v="4"/>
    <n v="833.07"/>
    <n v="7"/>
    <n v="0.09"/>
    <n v="-126"/>
    <n v="-0.15124779430299973"/>
    <n v="119.01"/>
    <x v="1"/>
    <x v="10"/>
    <s v="2021"/>
    <x v="10"/>
  </r>
  <r>
    <x v="332"/>
    <x v="291"/>
    <d v="2021-04-16T00:00:00"/>
    <s v="Standard Class"/>
    <x v="1"/>
    <x v="0"/>
    <x v="8"/>
    <x v="2"/>
    <x v="1"/>
    <x v="2"/>
    <x v="4"/>
    <n v="1570.01"/>
    <n v="8"/>
    <n v="0.51"/>
    <n v="776.54"/>
    <n v="0.49460831459672228"/>
    <n v="196.25125"/>
    <x v="0"/>
    <x v="3"/>
    <s v="2021"/>
    <x v="3"/>
  </r>
  <r>
    <x v="333"/>
    <x v="292"/>
    <d v="2022-02-28T00:00:00"/>
    <s v="Same Day"/>
    <x v="2"/>
    <x v="0"/>
    <x v="4"/>
    <x v="6"/>
    <x v="0"/>
    <x v="2"/>
    <x v="2"/>
    <n v="838.46"/>
    <n v="3"/>
    <n v="0.56999999999999995"/>
    <n v="-194.5"/>
    <n v="-0.23197290270257376"/>
    <n v="279.48666666666668"/>
    <x v="1"/>
    <x v="9"/>
    <s v="202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291F9-B293-4D57-990E-B388E5FE2B5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Month">
  <location ref="A3:B16" firstHeaderRow="1" firstDataRow="1" firstDataCol="1"/>
  <pivotFields count="21">
    <pivotField showAll="0"/>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showAll="0"/>
    <pivotField showAll="0"/>
    <pivotField showAll="0">
      <items count="10">
        <item x="7"/>
        <item x="5"/>
        <item x="3"/>
        <item x="4"/>
        <item x="1"/>
        <item x="6"/>
        <item x="8"/>
        <item x="2"/>
        <item x="0"/>
        <item t="default"/>
      </items>
    </pivotField>
    <pivotField showAll="0"/>
    <pivotField showAll="0">
      <items count="7">
        <item x="4"/>
        <item x="5"/>
        <item x="3"/>
        <item x="0"/>
        <item x="2"/>
        <item x="1"/>
        <item t="default"/>
      </items>
    </pivotField>
    <pivotField showAll="0">
      <items count="5">
        <item x="2"/>
        <item x="1"/>
        <item x="3"/>
        <item x="0"/>
        <item t="default"/>
      </items>
    </pivotField>
    <pivotField showAll="0"/>
    <pivotField numFmtId="1" showAll="0"/>
    <pivotField showAll="0"/>
    <pivotField showAll="0"/>
    <pivotField dataField="1" numFmtId="1" showAll="0"/>
    <pivotField numFmtId="164" showAll="0"/>
    <pivotField numFmtId="3" showAll="0"/>
    <pivotField showAll="0"/>
    <pivotField axis="axisRow" showAll="0" sortType="ascending">
      <items count="49">
        <item sd="0" x="10"/>
        <item sd="0" x="3"/>
        <item sd="0" x="6"/>
        <item sd="0" x="4"/>
        <item sd="0" x="9"/>
        <item sd="0" x="1"/>
        <item sd="0" x="5"/>
        <item sd="0" x="8"/>
        <item sd="0" x="2"/>
        <item sd="0" x="7"/>
        <item sd="0" x="0"/>
        <item sd="0" x="11"/>
        <item sd="0" m="1" x="21"/>
        <item sd="0" m="1" x="16"/>
        <item sd="0" m="1" x="39"/>
        <item sd="0" m="1" x="35"/>
        <item sd="0" m="1" x="40"/>
        <item sd="0" m="1" x="24"/>
        <item sd="0" m="1" x="45"/>
        <item sd="0" m="1" x="42"/>
        <item sd="0" m="1" x="44"/>
        <item sd="0" m="1" x="28"/>
        <item sd="0" m="1" x="36"/>
        <item sd="0" m="1" x="15"/>
        <item sd="0" m="1" x="37"/>
        <item sd="0" m="1" x="31"/>
        <item sd="0" m="1" x="41"/>
        <item sd="0" m="1" x="17"/>
        <item sd="0" m="1" x="19"/>
        <item sd="0" m="1" x="26"/>
        <item sd="0" m="1" x="18"/>
        <item sd="0" m="1" x="38"/>
        <item sd="0" m="1" x="13"/>
        <item sd="0" m="1" x="32"/>
        <item sd="0" m="1" x="22"/>
        <item sd="0" m="1" x="43"/>
        <item sd="0" m="1" x="27"/>
        <item sd="0" m="1" x="25"/>
        <item sd="0" m="1" x="29"/>
        <item sd="0" m="1" x="20"/>
        <item sd="0" m="1" x="12"/>
        <item sd="0" m="1" x="47"/>
        <item sd="0" m="1" x="34"/>
        <item sd="0" m="1" x="23"/>
        <item sd="0" m="1" x="46"/>
        <item sd="0" m="1" x="14"/>
        <item sd="0" m="1" x="30"/>
        <item sd="0" m="1" x="33"/>
        <item t="default" sd="0"/>
      </items>
    </pivotField>
    <pivotField showAll="0"/>
    <pivotField axis="axisRow" showAll="0">
      <items count="13">
        <item x="10"/>
        <item x="3"/>
        <item x="6"/>
        <item x="4"/>
        <item x="9"/>
        <item x="1"/>
        <item x="5"/>
        <item x="8"/>
        <item x="2"/>
        <item x="7"/>
        <item x="0"/>
        <item x="11"/>
        <item t="default"/>
      </items>
    </pivotField>
  </pivotFields>
  <rowFields count="2">
    <field x="18"/>
    <field x="20"/>
  </rowFields>
  <rowItems count="13">
    <i>
      <x/>
    </i>
    <i>
      <x v="1"/>
    </i>
    <i>
      <x v="2"/>
    </i>
    <i>
      <x v="3"/>
    </i>
    <i>
      <x v="4"/>
    </i>
    <i>
      <x v="5"/>
    </i>
    <i>
      <x v="6"/>
    </i>
    <i>
      <x v="7"/>
    </i>
    <i>
      <x v="8"/>
    </i>
    <i>
      <x v="9"/>
    </i>
    <i>
      <x v="10"/>
    </i>
    <i>
      <x v="11"/>
    </i>
    <i t="grand">
      <x/>
    </i>
  </rowItems>
  <colItems count="1">
    <i/>
  </colItems>
  <dataFields count="1">
    <dataField name="Sum of Profit" fld="14" baseField="0" baseItem="0" numFmtId="165"/>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78BD8D-0185-4C49-B2FC-D3C3DCDFAC1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2" rowHeaderCaption="Segment">
  <location ref="D21:G25" firstHeaderRow="0" firstDataRow="1" firstDataCol="1"/>
  <pivotFields count="21">
    <pivotField showAll="0"/>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showAll="0"/>
    <pivotField axis="axisRow" showAll="0">
      <items count="4">
        <item x="0"/>
        <item x="1"/>
        <item x="2"/>
        <item t="default"/>
      </items>
    </pivotField>
    <pivotField showAll="0">
      <items count="10">
        <item x="7"/>
        <item x="5"/>
        <item x="3"/>
        <item x="4"/>
        <item x="1"/>
        <item x="6"/>
        <item x="8"/>
        <item x="2"/>
        <item x="0"/>
        <item t="default"/>
      </items>
    </pivotField>
    <pivotField showAll="0">
      <items count="13">
        <item x="3"/>
        <item x="0"/>
        <item x="8"/>
        <item x="7"/>
        <item sd="0" m="1" x="10"/>
        <item sd="0" x="4"/>
        <item sd="0" m="1" x="9"/>
        <item x="2"/>
        <item x="1"/>
        <item sd="0" x="5"/>
        <item sd="0" m="1" x="11"/>
        <item sd="0" x="6"/>
        <item t="default"/>
      </items>
    </pivotField>
    <pivotField showAll="0">
      <items count="7">
        <item x="4"/>
        <item x="5"/>
        <item x="3"/>
        <item x="0"/>
        <item x="2"/>
        <item x="1"/>
        <item t="default"/>
      </items>
    </pivotField>
    <pivotField showAll="0">
      <items count="5">
        <item x="2"/>
        <item x="1"/>
        <item x="3"/>
        <item x="0"/>
        <item t="default"/>
      </items>
    </pivotField>
    <pivotField showAll="0"/>
    <pivotField dataField="1" numFmtId="1" showAll="0"/>
    <pivotField dataField="1" showAll="0"/>
    <pivotField showAll="0"/>
    <pivotField dataField="1" numFmtId="1" showAll="0"/>
    <pivotField numFmtId="164" showAll="0"/>
    <pivotField numFmtId="3" showAll="0"/>
    <pivotField showAll="0">
      <items count="3">
        <item x="1"/>
        <item x="0"/>
        <item t="default"/>
      </items>
    </pivotField>
    <pivotField showAll="0">
      <items count="49">
        <item x="10"/>
        <item x="3"/>
        <item x="6"/>
        <item x="4"/>
        <item x="9"/>
        <item x="1"/>
        <item x="5"/>
        <item x="8"/>
        <item x="2"/>
        <item x="7"/>
        <item x="0"/>
        <item x="11"/>
        <item m="1" x="21"/>
        <item m="1" x="16"/>
        <item m="1" x="39"/>
        <item m="1" x="35"/>
        <item m="1" x="40"/>
        <item m="1" x="24"/>
        <item m="1" x="45"/>
        <item m="1" x="42"/>
        <item m="1" x="44"/>
        <item m="1" x="28"/>
        <item m="1" x="36"/>
        <item m="1" x="15"/>
        <item m="1" x="37"/>
        <item m="1" x="31"/>
        <item m="1" x="41"/>
        <item m="1" x="17"/>
        <item m="1" x="19"/>
        <item m="1" x="26"/>
        <item m="1" x="18"/>
        <item m="1" x="38"/>
        <item m="1" x="13"/>
        <item m="1" x="32"/>
        <item m="1" x="22"/>
        <item m="1" x="43"/>
        <item m="1" x="27"/>
        <item m="1" x="25"/>
        <item m="1" x="29"/>
        <item m="1" x="20"/>
        <item m="1" x="12"/>
        <item m="1" x="47"/>
        <item m="1" x="34"/>
        <item m="1" x="23"/>
        <item m="1" x="46"/>
        <item m="1" x="14"/>
        <item m="1" x="30"/>
        <item m="1" x="33"/>
        <item t="default"/>
      </items>
    </pivotField>
    <pivotField showAll="0"/>
    <pivotField showAll="0"/>
  </pivotFields>
  <rowFields count="1">
    <field x="5"/>
  </rowFields>
  <rowItems count="4">
    <i>
      <x/>
    </i>
    <i>
      <x v="1"/>
    </i>
    <i>
      <x v="2"/>
    </i>
    <i t="grand">
      <x/>
    </i>
  </rowItems>
  <colFields count="1">
    <field x="-2"/>
  </colFields>
  <colItems count="3">
    <i>
      <x/>
    </i>
    <i i="1">
      <x v="1"/>
    </i>
    <i i="2">
      <x v="2"/>
    </i>
  </colItems>
  <dataFields count="3">
    <dataField name="Sum of Quantity" fld="12" baseField="0" baseItem="0"/>
    <dataField name="Sum of Sales" fld="11" baseField="0" baseItem="0"/>
    <dataField name="Sum of Profit" fld="14" baseField="0" baseItem="0"/>
  </dataFields>
  <chartFormats count="80">
    <chartFormat chart="77" format="0"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1"/>
          </reference>
        </references>
      </pivotArea>
    </chartFormat>
    <chartFormat chart="77" format="2" series="1">
      <pivotArea type="data" outline="0" fieldPosition="0">
        <references count="1">
          <reference field="4294967294" count="1" selected="0">
            <x v="2"/>
          </reference>
        </references>
      </pivotArea>
    </chartFormat>
    <chartFormat chart="77" format="3">
      <pivotArea type="data" outline="0" fieldPosition="0">
        <references count="2">
          <reference field="4294967294" count="1" selected="0">
            <x v="0"/>
          </reference>
          <reference field="5" count="1" selected="0">
            <x v="0"/>
          </reference>
        </references>
      </pivotArea>
    </chartFormat>
    <chartFormat chart="77" format="4">
      <pivotArea type="data" outline="0" fieldPosition="0">
        <references count="2">
          <reference field="4294967294" count="1" selected="0">
            <x v="0"/>
          </reference>
          <reference field="5" count="1" selected="0">
            <x v="1"/>
          </reference>
        </references>
      </pivotArea>
    </chartFormat>
    <chartFormat chart="77" format="5">
      <pivotArea type="data" outline="0" fieldPosition="0">
        <references count="2">
          <reference field="4294967294" count="1" selected="0">
            <x v="0"/>
          </reference>
          <reference field="5" count="1" selected="0">
            <x v="2"/>
          </reference>
        </references>
      </pivotArea>
    </chartFormat>
    <chartFormat chart="77" format="6">
      <pivotArea type="data" outline="0" fieldPosition="0">
        <references count="2">
          <reference field="4294967294" count="1" selected="0">
            <x v="1"/>
          </reference>
          <reference field="5" count="1" selected="0">
            <x v="0"/>
          </reference>
        </references>
      </pivotArea>
    </chartFormat>
    <chartFormat chart="77" format="7">
      <pivotArea type="data" outline="0" fieldPosition="0">
        <references count="2">
          <reference field="4294967294" count="1" selected="0">
            <x v="1"/>
          </reference>
          <reference field="5" count="1" selected="0">
            <x v="1"/>
          </reference>
        </references>
      </pivotArea>
    </chartFormat>
    <chartFormat chart="77" format="8">
      <pivotArea type="data" outline="0" fieldPosition="0">
        <references count="2">
          <reference field="4294967294" count="1" selected="0">
            <x v="1"/>
          </reference>
          <reference field="5" count="1" selected="0">
            <x v="2"/>
          </reference>
        </references>
      </pivotArea>
    </chartFormat>
    <chartFormat chart="77" format="9">
      <pivotArea type="data" outline="0" fieldPosition="0">
        <references count="2">
          <reference field="4294967294" count="1" selected="0">
            <x v="2"/>
          </reference>
          <reference field="5" count="1" selected="0">
            <x v="0"/>
          </reference>
        </references>
      </pivotArea>
    </chartFormat>
    <chartFormat chart="77" format="10">
      <pivotArea type="data" outline="0" fieldPosition="0">
        <references count="2">
          <reference field="4294967294" count="1" selected="0">
            <x v="2"/>
          </reference>
          <reference field="5" count="1" selected="0">
            <x v="1"/>
          </reference>
        </references>
      </pivotArea>
    </chartFormat>
    <chartFormat chart="77" format="11">
      <pivotArea type="data" outline="0" fieldPosition="0">
        <references count="2">
          <reference field="4294967294" count="1" selected="0">
            <x v="2"/>
          </reference>
          <reference field="5" count="1" selected="0">
            <x v="2"/>
          </reference>
        </references>
      </pivotArea>
    </chartFormat>
    <chartFormat chart="85" format="24" series="1">
      <pivotArea type="data" outline="0" fieldPosition="0">
        <references count="1">
          <reference field="4294967294" count="1" selected="0">
            <x v="0"/>
          </reference>
        </references>
      </pivotArea>
    </chartFormat>
    <chartFormat chart="85" format="25">
      <pivotArea type="data" outline="0" fieldPosition="0">
        <references count="2">
          <reference field="4294967294" count="1" selected="0">
            <x v="0"/>
          </reference>
          <reference field="5" count="1" selected="0">
            <x v="0"/>
          </reference>
        </references>
      </pivotArea>
    </chartFormat>
    <chartFormat chart="85" format="26">
      <pivotArea type="data" outline="0" fieldPosition="0">
        <references count="2">
          <reference field="4294967294" count="1" selected="0">
            <x v="0"/>
          </reference>
          <reference field="5" count="1" selected="0">
            <x v="1"/>
          </reference>
        </references>
      </pivotArea>
    </chartFormat>
    <chartFormat chart="85" format="27">
      <pivotArea type="data" outline="0" fieldPosition="0">
        <references count="2">
          <reference field="4294967294" count="1" selected="0">
            <x v="0"/>
          </reference>
          <reference field="5" count="1" selected="0">
            <x v="2"/>
          </reference>
        </references>
      </pivotArea>
    </chartFormat>
    <chartFormat chart="85" format="28" series="1">
      <pivotArea type="data" outline="0" fieldPosition="0">
        <references count="1">
          <reference field="4294967294" count="1" selected="0">
            <x v="1"/>
          </reference>
        </references>
      </pivotArea>
    </chartFormat>
    <chartFormat chart="85" format="29">
      <pivotArea type="data" outline="0" fieldPosition="0">
        <references count="2">
          <reference field="4294967294" count="1" selected="0">
            <x v="1"/>
          </reference>
          <reference field="5" count="1" selected="0">
            <x v="0"/>
          </reference>
        </references>
      </pivotArea>
    </chartFormat>
    <chartFormat chart="85" format="30">
      <pivotArea type="data" outline="0" fieldPosition="0">
        <references count="2">
          <reference field="4294967294" count="1" selected="0">
            <x v="1"/>
          </reference>
          <reference field="5" count="1" selected="0">
            <x v="1"/>
          </reference>
        </references>
      </pivotArea>
    </chartFormat>
    <chartFormat chart="85" format="31">
      <pivotArea type="data" outline="0" fieldPosition="0">
        <references count="2">
          <reference field="4294967294" count="1" selected="0">
            <x v="1"/>
          </reference>
          <reference field="5" count="1" selected="0">
            <x v="2"/>
          </reference>
        </references>
      </pivotArea>
    </chartFormat>
    <chartFormat chart="85" format="32" series="1">
      <pivotArea type="data" outline="0" fieldPosition="0">
        <references count="1">
          <reference field="4294967294" count="1" selected="0">
            <x v="2"/>
          </reference>
        </references>
      </pivotArea>
    </chartFormat>
    <chartFormat chart="85" format="33">
      <pivotArea type="data" outline="0" fieldPosition="0">
        <references count="2">
          <reference field="4294967294" count="1" selected="0">
            <x v="2"/>
          </reference>
          <reference field="5" count="1" selected="0">
            <x v="0"/>
          </reference>
        </references>
      </pivotArea>
    </chartFormat>
    <chartFormat chart="85" format="34">
      <pivotArea type="data" outline="0" fieldPosition="0">
        <references count="2">
          <reference field="4294967294" count="1" selected="0">
            <x v="2"/>
          </reference>
          <reference field="5" count="1" selected="0">
            <x v="1"/>
          </reference>
        </references>
      </pivotArea>
    </chartFormat>
    <chartFormat chart="85" format="35">
      <pivotArea type="data" outline="0" fieldPosition="0">
        <references count="2">
          <reference field="4294967294" count="1" selected="0">
            <x v="2"/>
          </reference>
          <reference field="5" count="1" selected="0">
            <x v="2"/>
          </reference>
        </references>
      </pivotArea>
    </chartFormat>
    <chartFormat chart="91" format="0" series="1">
      <pivotArea type="data" outline="0" fieldPosition="0">
        <references count="1">
          <reference field="4294967294" count="1" selected="0">
            <x v="0"/>
          </reference>
        </references>
      </pivotArea>
    </chartFormat>
    <chartFormat chart="91" format="1" series="1">
      <pivotArea type="data" outline="0" fieldPosition="0">
        <references count="1">
          <reference field="4294967294" count="1" selected="0">
            <x v="1"/>
          </reference>
        </references>
      </pivotArea>
    </chartFormat>
    <chartFormat chart="91" format="2" series="1">
      <pivotArea type="data" outline="0" fieldPosition="0">
        <references count="1">
          <reference field="4294967294" count="1" selected="0">
            <x v="2"/>
          </reference>
        </references>
      </pivotArea>
    </chartFormat>
    <chartFormat chart="91" format="3">
      <pivotArea type="data" outline="0" fieldPosition="0">
        <references count="2">
          <reference field="4294967294" count="1" selected="0">
            <x v="0"/>
          </reference>
          <reference field="5" count="1" selected="0">
            <x v="2"/>
          </reference>
        </references>
      </pivotArea>
    </chartFormat>
    <chartFormat chart="91" format="4">
      <pivotArea type="data" outline="0" fieldPosition="0">
        <references count="2">
          <reference field="4294967294" count="1" selected="0">
            <x v="0"/>
          </reference>
          <reference field="5" count="1" selected="0">
            <x v="1"/>
          </reference>
        </references>
      </pivotArea>
    </chartFormat>
    <chartFormat chart="96" format="17" series="1">
      <pivotArea type="data" outline="0" fieldPosition="0">
        <references count="1">
          <reference field="4294967294" count="1" selected="0">
            <x v="0"/>
          </reference>
        </references>
      </pivotArea>
    </chartFormat>
    <chartFormat chart="96" format="18">
      <pivotArea type="data" outline="0" fieldPosition="0">
        <references count="2">
          <reference field="4294967294" count="1" selected="0">
            <x v="0"/>
          </reference>
          <reference field="5" count="1" selected="0">
            <x v="0"/>
          </reference>
        </references>
      </pivotArea>
    </chartFormat>
    <chartFormat chart="96" format="19">
      <pivotArea type="data" outline="0" fieldPosition="0">
        <references count="2">
          <reference field="4294967294" count="1" selected="0">
            <x v="0"/>
          </reference>
          <reference field="5" count="1" selected="0">
            <x v="1"/>
          </reference>
        </references>
      </pivotArea>
    </chartFormat>
    <chartFormat chart="96" format="20">
      <pivotArea type="data" outline="0" fieldPosition="0">
        <references count="2">
          <reference field="4294967294" count="1" selected="0">
            <x v="0"/>
          </reference>
          <reference field="5" count="1" selected="0">
            <x v="2"/>
          </reference>
        </references>
      </pivotArea>
    </chartFormat>
    <chartFormat chart="96" format="21" series="1">
      <pivotArea type="data" outline="0" fieldPosition="0">
        <references count="1">
          <reference field="4294967294" count="1" selected="0">
            <x v="1"/>
          </reference>
        </references>
      </pivotArea>
    </chartFormat>
    <chartFormat chart="96" format="22">
      <pivotArea type="data" outline="0" fieldPosition="0">
        <references count="2">
          <reference field="4294967294" count="1" selected="0">
            <x v="1"/>
          </reference>
          <reference field="5" count="1" selected="0">
            <x v="0"/>
          </reference>
        </references>
      </pivotArea>
    </chartFormat>
    <chartFormat chart="96" format="23">
      <pivotArea type="data" outline="0" fieldPosition="0">
        <references count="2">
          <reference field="4294967294" count="1" selected="0">
            <x v="1"/>
          </reference>
          <reference field="5" count="1" selected="0">
            <x v="1"/>
          </reference>
        </references>
      </pivotArea>
    </chartFormat>
    <chartFormat chart="96" format="24">
      <pivotArea type="data" outline="0" fieldPosition="0">
        <references count="2">
          <reference field="4294967294" count="1" selected="0">
            <x v="1"/>
          </reference>
          <reference field="5" count="1" selected="0">
            <x v="2"/>
          </reference>
        </references>
      </pivotArea>
    </chartFormat>
    <chartFormat chart="96" format="25" series="1">
      <pivotArea type="data" outline="0" fieldPosition="0">
        <references count="1">
          <reference field="4294967294" count="1" selected="0">
            <x v="2"/>
          </reference>
        </references>
      </pivotArea>
    </chartFormat>
    <chartFormat chart="96" format="26">
      <pivotArea type="data" outline="0" fieldPosition="0">
        <references count="2">
          <reference field="4294967294" count="1" selected="0">
            <x v="2"/>
          </reference>
          <reference field="5" count="1" selected="0">
            <x v="0"/>
          </reference>
        </references>
      </pivotArea>
    </chartFormat>
    <chartFormat chart="96" format="27">
      <pivotArea type="data" outline="0" fieldPosition="0">
        <references count="2">
          <reference field="4294967294" count="1" selected="0">
            <x v="2"/>
          </reference>
          <reference field="5" count="1" selected="0">
            <x v="1"/>
          </reference>
        </references>
      </pivotArea>
    </chartFormat>
    <chartFormat chart="96" format="28">
      <pivotArea type="data" outline="0" fieldPosition="0">
        <references count="2">
          <reference field="4294967294" count="1" selected="0">
            <x v="2"/>
          </reference>
          <reference field="5" count="1" selected="0">
            <x v="2"/>
          </reference>
        </references>
      </pivotArea>
    </chartFormat>
    <chartFormat chart="100" format="0" series="1">
      <pivotArea type="data" outline="0" fieldPosition="0">
        <references count="1">
          <reference field="4294967294" count="1" selected="0">
            <x v="0"/>
          </reference>
        </references>
      </pivotArea>
    </chartFormat>
    <chartFormat chart="100" format="1" series="1">
      <pivotArea type="data" outline="0" fieldPosition="0">
        <references count="1">
          <reference field="4294967294" count="1" selected="0">
            <x v="1"/>
          </reference>
        </references>
      </pivotArea>
    </chartFormat>
    <chartFormat chart="100" format="2" series="1">
      <pivotArea type="data" outline="0" fieldPosition="0">
        <references count="1">
          <reference field="4294967294" count="1" selected="0">
            <x v="2"/>
          </reference>
        </references>
      </pivotArea>
    </chartFormat>
    <chartFormat chart="109" format="15" series="1">
      <pivotArea type="data" outline="0" fieldPosition="0">
        <references count="1">
          <reference field="4294967294" count="1" selected="0">
            <x v="0"/>
          </reference>
        </references>
      </pivotArea>
    </chartFormat>
    <chartFormat chart="109" format="16">
      <pivotArea type="data" outline="0" fieldPosition="0">
        <references count="2">
          <reference field="4294967294" count="1" selected="0">
            <x v="0"/>
          </reference>
          <reference field="5" count="1" selected="0">
            <x v="0"/>
          </reference>
        </references>
      </pivotArea>
    </chartFormat>
    <chartFormat chart="109" format="17">
      <pivotArea type="data" outline="0" fieldPosition="0">
        <references count="2">
          <reference field="4294967294" count="1" selected="0">
            <x v="0"/>
          </reference>
          <reference field="5" count="1" selected="0">
            <x v="1"/>
          </reference>
        </references>
      </pivotArea>
    </chartFormat>
    <chartFormat chart="109" format="18">
      <pivotArea type="data" outline="0" fieldPosition="0">
        <references count="2">
          <reference field="4294967294" count="1" selected="0">
            <x v="0"/>
          </reference>
          <reference field="5" count="1" selected="0">
            <x v="2"/>
          </reference>
        </references>
      </pivotArea>
    </chartFormat>
    <chartFormat chart="109" format="19" series="1">
      <pivotArea type="data" outline="0" fieldPosition="0">
        <references count="1">
          <reference field="4294967294" count="1" selected="0">
            <x v="1"/>
          </reference>
        </references>
      </pivotArea>
    </chartFormat>
    <chartFormat chart="109" format="20">
      <pivotArea type="data" outline="0" fieldPosition="0">
        <references count="2">
          <reference field="4294967294" count="1" selected="0">
            <x v="1"/>
          </reference>
          <reference field="5" count="1" selected="0">
            <x v="0"/>
          </reference>
        </references>
      </pivotArea>
    </chartFormat>
    <chartFormat chart="109" format="21">
      <pivotArea type="data" outline="0" fieldPosition="0">
        <references count="2">
          <reference field="4294967294" count="1" selected="0">
            <x v="1"/>
          </reference>
          <reference field="5" count="1" selected="0">
            <x v="1"/>
          </reference>
        </references>
      </pivotArea>
    </chartFormat>
    <chartFormat chart="109" format="22">
      <pivotArea type="data" outline="0" fieldPosition="0">
        <references count="2">
          <reference field="4294967294" count="1" selected="0">
            <x v="1"/>
          </reference>
          <reference field="5" count="1" selected="0">
            <x v="2"/>
          </reference>
        </references>
      </pivotArea>
    </chartFormat>
    <chartFormat chart="109" format="23" series="1">
      <pivotArea type="data" outline="0" fieldPosition="0">
        <references count="1">
          <reference field="4294967294" count="1" selected="0">
            <x v="2"/>
          </reference>
        </references>
      </pivotArea>
    </chartFormat>
    <chartFormat chart="109" format="24">
      <pivotArea type="data" outline="0" fieldPosition="0">
        <references count="2">
          <reference field="4294967294" count="1" selected="0">
            <x v="2"/>
          </reference>
          <reference field="5" count="1" selected="0">
            <x v="0"/>
          </reference>
        </references>
      </pivotArea>
    </chartFormat>
    <chartFormat chart="109" format="25">
      <pivotArea type="data" outline="0" fieldPosition="0">
        <references count="2">
          <reference field="4294967294" count="1" selected="0">
            <x v="2"/>
          </reference>
          <reference field="5" count="1" selected="0">
            <x v="1"/>
          </reference>
        </references>
      </pivotArea>
    </chartFormat>
    <chartFormat chart="109" format="26">
      <pivotArea type="data" outline="0" fieldPosition="0">
        <references count="2">
          <reference field="4294967294" count="1" selected="0">
            <x v="2"/>
          </reference>
          <reference field="5" count="1" selected="0">
            <x v="2"/>
          </reference>
        </references>
      </pivotArea>
    </chartFormat>
    <chartFormat chart="110" format="3" series="1">
      <pivotArea type="data" outline="0" fieldPosition="0">
        <references count="1">
          <reference field="4294967294" count="1" selected="0">
            <x v="0"/>
          </reference>
        </references>
      </pivotArea>
    </chartFormat>
    <chartFormat chart="110" format="4">
      <pivotArea type="data" outline="0" fieldPosition="0">
        <references count="2">
          <reference field="4294967294" count="1" selected="0">
            <x v="0"/>
          </reference>
          <reference field="5" count="1" selected="0">
            <x v="0"/>
          </reference>
        </references>
      </pivotArea>
    </chartFormat>
    <chartFormat chart="110" format="5">
      <pivotArea type="data" outline="0" fieldPosition="0">
        <references count="2">
          <reference field="4294967294" count="1" selected="0">
            <x v="0"/>
          </reference>
          <reference field="5" count="1" selected="0">
            <x v="1"/>
          </reference>
        </references>
      </pivotArea>
    </chartFormat>
    <chartFormat chart="110" format="6">
      <pivotArea type="data" outline="0" fieldPosition="0">
        <references count="2">
          <reference field="4294967294" count="1" selected="0">
            <x v="0"/>
          </reference>
          <reference field="5" count="1" selected="0">
            <x v="2"/>
          </reference>
        </references>
      </pivotArea>
    </chartFormat>
    <chartFormat chart="110" format="7" series="1">
      <pivotArea type="data" outline="0" fieldPosition="0">
        <references count="1">
          <reference field="4294967294" count="1" selected="0">
            <x v="1"/>
          </reference>
        </references>
      </pivotArea>
    </chartFormat>
    <chartFormat chart="110" format="8">
      <pivotArea type="data" outline="0" fieldPosition="0">
        <references count="2">
          <reference field="4294967294" count="1" selected="0">
            <x v="1"/>
          </reference>
          <reference field="5" count="1" selected="0">
            <x v="0"/>
          </reference>
        </references>
      </pivotArea>
    </chartFormat>
    <chartFormat chart="110" format="9">
      <pivotArea type="data" outline="0" fieldPosition="0">
        <references count="2">
          <reference field="4294967294" count="1" selected="0">
            <x v="1"/>
          </reference>
          <reference field="5" count="1" selected="0">
            <x v="1"/>
          </reference>
        </references>
      </pivotArea>
    </chartFormat>
    <chartFormat chart="110" format="10">
      <pivotArea type="data" outline="0" fieldPosition="0">
        <references count="2">
          <reference field="4294967294" count="1" selected="0">
            <x v="1"/>
          </reference>
          <reference field="5" count="1" selected="0">
            <x v="2"/>
          </reference>
        </references>
      </pivotArea>
    </chartFormat>
    <chartFormat chart="110" format="11" series="1">
      <pivotArea type="data" outline="0" fieldPosition="0">
        <references count="1">
          <reference field="4294967294" count="1" selected="0">
            <x v="2"/>
          </reference>
        </references>
      </pivotArea>
    </chartFormat>
    <chartFormat chart="110" format="12">
      <pivotArea type="data" outline="0" fieldPosition="0">
        <references count="2">
          <reference field="4294967294" count="1" selected="0">
            <x v="2"/>
          </reference>
          <reference field="5" count="1" selected="0">
            <x v="0"/>
          </reference>
        </references>
      </pivotArea>
    </chartFormat>
    <chartFormat chart="110" format="13">
      <pivotArea type="data" outline="0" fieldPosition="0">
        <references count="2">
          <reference field="4294967294" count="1" selected="0">
            <x v="2"/>
          </reference>
          <reference field="5" count="1" selected="0">
            <x v="1"/>
          </reference>
        </references>
      </pivotArea>
    </chartFormat>
    <chartFormat chart="110" format="14">
      <pivotArea type="data" outline="0" fieldPosition="0">
        <references count="2">
          <reference field="4294967294" count="1" selected="0">
            <x v="2"/>
          </reference>
          <reference field="5" count="1" selected="0">
            <x v="2"/>
          </reference>
        </references>
      </pivotArea>
    </chartFormat>
    <chartFormat chart="111" format="15" series="1">
      <pivotArea type="data" outline="0" fieldPosition="0">
        <references count="1">
          <reference field="4294967294" count="1" selected="0">
            <x v="0"/>
          </reference>
        </references>
      </pivotArea>
    </chartFormat>
    <chartFormat chart="111" format="16">
      <pivotArea type="data" outline="0" fieldPosition="0">
        <references count="2">
          <reference field="4294967294" count="1" selected="0">
            <x v="0"/>
          </reference>
          <reference field="5" count="1" selected="0">
            <x v="0"/>
          </reference>
        </references>
      </pivotArea>
    </chartFormat>
    <chartFormat chart="111" format="17">
      <pivotArea type="data" outline="0" fieldPosition="0">
        <references count="2">
          <reference field="4294967294" count="1" selected="0">
            <x v="0"/>
          </reference>
          <reference field="5" count="1" selected="0">
            <x v="1"/>
          </reference>
        </references>
      </pivotArea>
    </chartFormat>
    <chartFormat chart="111" format="18">
      <pivotArea type="data" outline="0" fieldPosition="0">
        <references count="2">
          <reference field="4294967294" count="1" selected="0">
            <x v="0"/>
          </reference>
          <reference field="5" count="1" selected="0">
            <x v="2"/>
          </reference>
        </references>
      </pivotArea>
    </chartFormat>
    <chartFormat chart="111" format="19" series="1">
      <pivotArea type="data" outline="0" fieldPosition="0">
        <references count="1">
          <reference field="4294967294" count="1" selected="0">
            <x v="1"/>
          </reference>
        </references>
      </pivotArea>
    </chartFormat>
    <chartFormat chart="111" format="20">
      <pivotArea type="data" outline="0" fieldPosition="0">
        <references count="2">
          <reference field="4294967294" count="1" selected="0">
            <x v="1"/>
          </reference>
          <reference field="5" count="1" selected="0">
            <x v="0"/>
          </reference>
        </references>
      </pivotArea>
    </chartFormat>
    <chartFormat chart="111" format="21">
      <pivotArea type="data" outline="0" fieldPosition="0">
        <references count="2">
          <reference field="4294967294" count="1" selected="0">
            <x v="1"/>
          </reference>
          <reference field="5" count="1" selected="0">
            <x v="1"/>
          </reference>
        </references>
      </pivotArea>
    </chartFormat>
    <chartFormat chart="111" format="22">
      <pivotArea type="data" outline="0" fieldPosition="0">
        <references count="2">
          <reference field="4294967294" count="1" selected="0">
            <x v="1"/>
          </reference>
          <reference field="5" count="1" selected="0">
            <x v="2"/>
          </reference>
        </references>
      </pivotArea>
    </chartFormat>
    <chartFormat chart="111" format="23" series="1">
      <pivotArea type="data" outline="0" fieldPosition="0">
        <references count="1">
          <reference field="4294967294" count="1" selected="0">
            <x v="2"/>
          </reference>
        </references>
      </pivotArea>
    </chartFormat>
    <chartFormat chart="111" format="24">
      <pivotArea type="data" outline="0" fieldPosition="0">
        <references count="2">
          <reference field="4294967294" count="1" selected="0">
            <x v="2"/>
          </reference>
          <reference field="5" count="1" selected="0">
            <x v="0"/>
          </reference>
        </references>
      </pivotArea>
    </chartFormat>
    <chartFormat chart="111" format="25">
      <pivotArea type="data" outline="0" fieldPosition="0">
        <references count="2">
          <reference field="4294967294" count="1" selected="0">
            <x v="2"/>
          </reference>
          <reference field="5" count="1" selected="0">
            <x v="1"/>
          </reference>
        </references>
      </pivotArea>
    </chartFormat>
    <chartFormat chart="111" format="26">
      <pivotArea type="data" outline="0" fieldPosition="0">
        <references count="2">
          <reference field="4294967294"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56F59A-C9F6-4FA2-B109-8FBD8950ADB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Customer Name">
  <location ref="H2:I11" firstHeaderRow="1" firstDataRow="1" firstDataCol="1"/>
  <pivotFields count="21">
    <pivotField showAll="0"/>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axis="axisRow" showAll="0" sortType="descending">
      <items count="9">
        <item x="5"/>
        <item x="2"/>
        <item x="1"/>
        <item x="0"/>
        <item x="6"/>
        <item x="7"/>
        <item x="4"/>
        <item x="3"/>
        <item t="default"/>
      </items>
      <autoSortScope>
        <pivotArea dataOnly="0" outline="0" fieldPosition="0">
          <references count="1">
            <reference field="4294967294" count="1" selected="0">
              <x v="0"/>
            </reference>
          </references>
        </pivotArea>
      </autoSortScope>
    </pivotField>
    <pivotField showAll="0"/>
    <pivotField showAll="0">
      <items count="10">
        <item x="7"/>
        <item x="5"/>
        <item x="3"/>
        <item x="4"/>
        <item x="1"/>
        <item x="6"/>
        <item x="8"/>
        <item x="2"/>
        <item x="0"/>
        <item t="default"/>
      </items>
    </pivotField>
    <pivotField showAll="0"/>
    <pivotField showAll="0">
      <items count="7">
        <item x="4"/>
        <item x="5"/>
        <item x="3"/>
        <item x="0"/>
        <item x="2"/>
        <item x="1"/>
        <item t="default"/>
      </items>
    </pivotField>
    <pivotField showAll="0">
      <items count="5">
        <item x="2"/>
        <item x="1"/>
        <item x="3"/>
        <item x="0"/>
        <item t="default"/>
      </items>
    </pivotField>
    <pivotField showAll="0"/>
    <pivotField numFmtId="1" showAll="0"/>
    <pivotField showAll="0"/>
    <pivotField showAll="0"/>
    <pivotField dataField="1" numFmtId="1" showAll="0"/>
    <pivotField numFmtId="164" showAll="0"/>
    <pivotField numFmtId="3" showAll="0"/>
    <pivotField showAll="0"/>
    <pivotField showAll="0">
      <items count="49">
        <item x="10"/>
        <item x="3"/>
        <item x="6"/>
        <item x="4"/>
        <item x="9"/>
        <item x="1"/>
        <item x="5"/>
        <item x="8"/>
        <item x="2"/>
        <item x="7"/>
        <item x="0"/>
        <item x="11"/>
        <item m="1" x="21"/>
        <item m="1" x="16"/>
        <item m="1" x="39"/>
        <item m="1" x="35"/>
        <item m="1" x="40"/>
        <item m="1" x="24"/>
        <item m="1" x="45"/>
        <item m="1" x="42"/>
        <item m="1" x="44"/>
        <item m="1" x="28"/>
        <item m="1" x="36"/>
        <item m="1" x="15"/>
        <item m="1" x="37"/>
        <item m="1" x="31"/>
        <item m="1" x="41"/>
        <item m="1" x="17"/>
        <item m="1" x="19"/>
        <item m="1" x="26"/>
        <item m="1" x="18"/>
        <item m="1" x="38"/>
        <item m="1" x="13"/>
        <item m="1" x="32"/>
        <item m="1" x="22"/>
        <item m="1" x="43"/>
        <item m="1" x="27"/>
        <item m="1" x="25"/>
        <item m="1" x="29"/>
        <item m="1" x="20"/>
        <item m="1" x="12"/>
        <item m="1" x="47"/>
        <item m="1" x="34"/>
        <item m="1" x="23"/>
        <item m="1" x="46"/>
        <item m="1" x="14"/>
        <item m="1" x="30"/>
        <item m="1" x="33"/>
        <item t="default"/>
      </items>
    </pivotField>
    <pivotField showAll="0"/>
    <pivotField showAll="0"/>
  </pivotFields>
  <rowFields count="1">
    <field x="4"/>
  </rowFields>
  <rowItems count="9">
    <i>
      <x/>
    </i>
    <i>
      <x v="1"/>
    </i>
    <i>
      <x v="4"/>
    </i>
    <i>
      <x v="5"/>
    </i>
    <i>
      <x v="2"/>
    </i>
    <i>
      <x v="7"/>
    </i>
    <i>
      <x v="3"/>
    </i>
    <i>
      <x v="6"/>
    </i>
    <i t="grand">
      <x/>
    </i>
  </rowItems>
  <colItems count="1">
    <i/>
  </colItems>
  <dataFields count="1">
    <dataField name="Sum of Profit" fld="14" baseField="0" baseItem="0" numFmtId="165"/>
  </dataFields>
  <chartFormats count="5">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4" count="1" selected="0">
            <x v="5"/>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B619E7-7F5C-4CA3-94B9-7BC46EF7752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1" rowHeaderCaption="Sub Category">
  <location ref="K4:N5" firstHeaderRow="0" firstDataRow="1" firstDataCol="0"/>
  <pivotFields count="21">
    <pivotField dataField="1" showAll="0">
      <items count="335">
        <item x="262"/>
        <item x="110"/>
        <item x="56"/>
        <item x="320"/>
        <item x="79"/>
        <item x="163"/>
        <item x="280"/>
        <item x="29"/>
        <item x="169"/>
        <item x="302"/>
        <item x="44"/>
        <item x="318"/>
        <item x="127"/>
        <item x="300"/>
        <item x="258"/>
        <item x="219"/>
        <item x="190"/>
        <item x="81"/>
        <item x="192"/>
        <item x="153"/>
        <item x="3"/>
        <item x="135"/>
        <item x="49"/>
        <item x="37"/>
        <item x="323"/>
        <item x="324"/>
        <item x="91"/>
        <item x="92"/>
        <item x="221"/>
        <item x="178"/>
        <item x="185"/>
        <item x="186"/>
        <item x="150"/>
        <item x="87"/>
        <item x="34"/>
        <item x="155"/>
        <item x="164"/>
        <item x="261"/>
        <item x="122"/>
        <item x="331"/>
        <item x="161"/>
        <item x="203"/>
        <item x="9"/>
        <item x="120"/>
        <item x="134"/>
        <item x="257"/>
        <item x="30"/>
        <item x="177"/>
        <item x="145"/>
        <item x="322"/>
        <item x="242"/>
        <item x="176"/>
        <item x="225"/>
        <item x="254"/>
        <item x="279"/>
        <item x="237"/>
        <item x="289"/>
        <item x="65"/>
        <item x="170"/>
        <item x="97"/>
        <item x="64"/>
        <item x="42"/>
        <item x="282"/>
        <item x="223"/>
        <item x="111"/>
        <item x="96"/>
        <item x="114"/>
        <item x="100"/>
        <item x="204"/>
        <item x="330"/>
        <item x="6"/>
        <item x="199"/>
        <item x="128"/>
        <item x="288"/>
        <item x="76"/>
        <item x="301"/>
        <item x="7"/>
        <item x="75"/>
        <item x="26"/>
        <item x="212"/>
        <item x="313"/>
        <item x="297"/>
        <item x="232"/>
        <item x="149"/>
        <item x="152"/>
        <item x="205"/>
        <item x="140"/>
        <item x="107"/>
        <item x="267"/>
        <item x="55"/>
        <item x="106"/>
        <item x="131"/>
        <item x="125"/>
        <item x="69"/>
        <item x="231"/>
        <item x="54"/>
        <item x="183"/>
        <item x="160"/>
        <item x="233"/>
        <item x="19"/>
        <item x="284"/>
        <item x="157"/>
        <item x="52"/>
        <item x="218"/>
        <item x="147"/>
        <item x="40"/>
        <item x="13"/>
        <item x="108"/>
        <item x="180"/>
        <item x="274"/>
        <item x="214"/>
        <item x="124"/>
        <item x="314"/>
        <item x="167"/>
        <item x="90"/>
        <item x="156"/>
        <item x="268"/>
        <item x="53"/>
        <item x="0"/>
        <item x="121"/>
        <item x="211"/>
        <item x="137"/>
        <item x="71"/>
        <item x="263"/>
        <item x="102"/>
        <item x="194"/>
        <item x="70"/>
        <item x="18"/>
        <item x="172"/>
        <item x="240"/>
        <item x="197"/>
        <item x="251"/>
        <item x="14"/>
        <item x="146"/>
        <item x="239"/>
        <item x="188"/>
        <item x="123"/>
        <item x="174"/>
        <item x="15"/>
        <item x="85"/>
        <item x="252"/>
        <item x="2"/>
        <item x="213"/>
        <item x="224"/>
        <item x="73"/>
        <item x="195"/>
        <item x="154"/>
        <item x="104"/>
        <item x="285"/>
        <item x="136"/>
        <item x="287"/>
        <item x="1"/>
        <item x="63"/>
        <item x="27"/>
        <item x="325"/>
        <item x="207"/>
        <item x="115"/>
        <item x="281"/>
        <item x="329"/>
        <item x="173"/>
        <item x="118"/>
        <item x="298"/>
        <item x="294"/>
        <item x="36"/>
        <item x="28"/>
        <item x="244"/>
        <item x="230"/>
        <item x="321"/>
        <item x="296"/>
        <item x="48"/>
        <item x="193"/>
        <item x="31"/>
        <item x="245"/>
        <item x="62"/>
        <item x="72"/>
        <item x="25"/>
        <item x="88"/>
        <item x="315"/>
        <item x="109"/>
        <item x="50"/>
        <item x="138"/>
        <item x="86"/>
        <item x="304"/>
        <item x="10"/>
        <item x="80"/>
        <item x="189"/>
        <item x="310"/>
        <item x="113"/>
        <item x="39"/>
        <item x="241"/>
        <item x="93"/>
        <item x="309"/>
        <item x="307"/>
        <item x="264"/>
        <item x="99"/>
        <item x="210"/>
        <item x="98"/>
        <item x="238"/>
        <item x="236"/>
        <item x="82"/>
        <item x="283"/>
        <item x="141"/>
        <item x="8"/>
        <item x="67"/>
        <item x="89"/>
        <item x="58"/>
        <item x="32"/>
        <item x="112"/>
        <item x="142"/>
        <item x="326"/>
        <item x="198"/>
        <item x="255"/>
        <item x="105"/>
        <item x="66"/>
        <item x="35"/>
        <item x="278"/>
        <item x="270"/>
        <item x="126"/>
        <item x="303"/>
        <item x="308"/>
        <item x="11"/>
        <item x="271"/>
        <item x="269"/>
        <item x="208"/>
        <item x="132"/>
        <item x="291"/>
        <item x="22"/>
        <item x="209"/>
        <item x="95"/>
        <item x="243"/>
        <item x="45"/>
        <item x="200"/>
        <item x="333"/>
        <item x="332"/>
        <item x="187"/>
        <item x="272"/>
        <item x="311"/>
        <item x="201"/>
        <item x="59"/>
        <item x="101"/>
        <item x="166"/>
        <item x="12"/>
        <item x="21"/>
        <item x="116"/>
        <item x="78"/>
        <item x="46"/>
        <item x="38"/>
        <item x="83"/>
        <item x="247"/>
        <item x="286"/>
        <item x="293"/>
        <item x="277"/>
        <item x="246"/>
        <item x="94"/>
        <item x="202"/>
        <item x="119"/>
        <item x="77"/>
        <item x="276"/>
        <item x="292"/>
        <item x="273"/>
        <item x="33"/>
        <item x="84"/>
        <item x="182"/>
        <item x="319"/>
        <item x="217"/>
        <item x="215"/>
        <item x="299"/>
        <item x="24"/>
        <item x="16"/>
        <item x="57"/>
        <item x="129"/>
        <item x="159"/>
        <item x="327"/>
        <item x="23"/>
        <item x="206"/>
        <item x="227"/>
        <item x="265"/>
        <item x="250"/>
        <item x="168"/>
        <item x="249"/>
        <item x="151"/>
        <item x="266"/>
        <item x="290"/>
        <item x="74"/>
        <item x="175"/>
        <item x="4"/>
        <item x="229"/>
        <item x="68"/>
        <item x="158"/>
        <item x="260"/>
        <item x="228"/>
        <item x="179"/>
        <item x="305"/>
        <item x="234"/>
        <item x="61"/>
        <item x="165"/>
        <item x="41"/>
        <item x="133"/>
        <item x="253"/>
        <item x="162"/>
        <item x="143"/>
        <item x="47"/>
        <item x="191"/>
        <item x="139"/>
        <item x="117"/>
        <item x="20"/>
        <item x="256"/>
        <item x="220"/>
        <item x="60"/>
        <item x="248"/>
        <item x="259"/>
        <item x="103"/>
        <item x="306"/>
        <item x="51"/>
        <item x="181"/>
        <item x="17"/>
        <item x="226"/>
        <item x="130"/>
        <item x="171"/>
        <item x="316"/>
        <item x="328"/>
        <item x="184"/>
        <item x="5"/>
        <item x="295"/>
        <item x="43"/>
        <item x="275"/>
        <item x="222"/>
        <item x="216"/>
        <item x="235"/>
        <item x="196"/>
        <item x="144"/>
        <item x="317"/>
        <item x="312"/>
        <item x="148"/>
        <item t="default"/>
      </items>
    </pivotField>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showAll="0"/>
    <pivotField showAll="0">
      <items count="4">
        <item x="0"/>
        <item x="1"/>
        <item x="2"/>
        <item t="default"/>
      </items>
    </pivotField>
    <pivotField showAll="0">
      <items count="10">
        <item x="7"/>
        <item x="5"/>
        <item x="3"/>
        <item x="4"/>
        <item x="1"/>
        <item x="6"/>
        <item x="8"/>
        <item x="2"/>
        <item x="0"/>
        <item t="default"/>
      </items>
    </pivotField>
    <pivotField showAll="0">
      <items count="13">
        <item x="3"/>
        <item x="0"/>
        <item x="8"/>
        <item x="7"/>
        <item sd="0" m="1" x="10"/>
        <item sd="0" x="4"/>
        <item sd="0" m="1" x="9"/>
        <item x="2"/>
        <item x="1"/>
        <item sd="0" x="5"/>
        <item sd="0" m="1" x="11"/>
        <item sd="0" x="6"/>
        <item t="default"/>
      </items>
    </pivotField>
    <pivotField showAll="0">
      <items count="7">
        <item x="4"/>
        <item x="5"/>
        <item x="3"/>
        <item x="0"/>
        <item x="2"/>
        <item x="1"/>
        <item t="default"/>
      </items>
    </pivotField>
    <pivotField showAll="0">
      <items count="5">
        <item x="2"/>
        <item x="1"/>
        <item x="3"/>
        <item x="0"/>
        <item t="default"/>
      </items>
    </pivotField>
    <pivotField showAll="0">
      <items count="8">
        <item x="6"/>
        <item x="4"/>
        <item x="1"/>
        <item h="1" x="2"/>
        <item x="5"/>
        <item x="3"/>
        <item x="0"/>
        <item t="default"/>
      </items>
    </pivotField>
    <pivotField dataField="1" numFmtId="1" showAll="0"/>
    <pivotField showAll="0"/>
    <pivotField showAll="0"/>
    <pivotField dataField="1" numFmtId="1" showAll="0"/>
    <pivotField dataField="1" numFmtId="164" showAll="0"/>
    <pivotField numFmtId="3" showAll="0"/>
    <pivotField showAll="0">
      <items count="3">
        <item x="1"/>
        <item x="0"/>
        <item t="default"/>
      </items>
    </pivotField>
    <pivotField showAll="0">
      <items count="49">
        <item x="10"/>
        <item x="3"/>
        <item x="6"/>
        <item x="4"/>
        <item x="9"/>
        <item x="1"/>
        <item x="5"/>
        <item x="8"/>
        <item x="2"/>
        <item x="7"/>
        <item x="0"/>
        <item x="11"/>
        <item m="1" x="21"/>
        <item m="1" x="16"/>
        <item m="1" x="39"/>
        <item m="1" x="35"/>
        <item m="1" x="40"/>
        <item m="1" x="24"/>
        <item m="1" x="45"/>
        <item m="1" x="42"/>
        <item m="1" x="44"/>
        <item m="1" x="28"/>
        <item m="1" x="36"/>
        <item m="1" x="15"/>
        <item m="1" x="37"/>
        <item m="1" x="31"/>
        <item m="1" x="41"/>
        <item m="1" x="17"/>
        <item m="1" x="19"/>
        <item m="1" x="26"/>
        <item m="1" x="18"/>
        <item m="1" x="38"/>
        <item m="1" x="13"/>
        <item m="1" x="32"/>
        <item m="1" x="22"/>
        <item m="1" x="43"/>
        <item m="1" x="27"/>
        <item m="1" x="25"/>
        <item m="1" x="29"/>
        <item m="1" x="20"/>
        <item m="1" x="12"/>
        <item m="1" x="47"/>
        <item m="1" x="34"/>
        <item m="1" x="23"/>
        <item m="1" x="46"/>
        <item m="1" x="14"/>
        <item m="1" x="30"/>
        <item m="1" x="33"/>
        <item t="default"/>
      </items>
    </pivotField>
    <pivotField showAll="0"/>
    <pivotField showAll="0"/>
  </pivotFields>
  <rowItems count="1">
    <i/>
  </rowItems>
  <colFields count="1">
    <field x="-2"/>
  </colFields>
  <colItems count="4">
    <i>
      <x/>
    </i>
    <i i="1">
      <x v="1"/>
    </i>
    <i i="2">
      <x v="2"/>
    </i>
    <i i="3">
      <x v="3"/>
    </i>
  </colItems>
  <dataFields count="4">
    <dataField name="Total Sales" fld="11" baseField="0" baseItem="1" numFmtId="165"/>
    <dataField name="Total Profit" fld="14" baseField="0" baseItem="1"/>
    <dataField name="Orders" fld="0" subtotal="count" baseField="0" baseItem="2"/>
    <dataField name="Sum of Profit Margin" fld="15" baseField="0" baseItem="0" numFmtId="10"/>
  </dataFields>
  <formats count="1">
    <format dxfId="0">
      <pivotArea outline="0" collapsedLevelsAreSubtotals="1" fieldPosition="0">
        <references count="1">
          <reference field="4294967294" count="1" selected="0">
            <x v="3"/>
          </reference>
        </references>
      </pivotArea>
    </format>
  </formats>
  <chartFormats count="24">
    <chartFormat chart="77" format="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1"/>
          </reference>
        </references>
      </pivotArea>
    </chartFormat>
    <chartFormat chart="85" format="28" series="1">
      <pivotArea type="data" outline="0" fieldPosition="0">
        <references count="1">
          <reference field="4294967294" count="1" selected="0">
            <x v="0"/>
          </reference>
        </references>
      </pivotArea>
    </chartFormat>
    <chartFormat chart="85" format="32" series="1">
      <pivotArea type="data" outline="0" fieldPosition="0">
        <references count="1">
          <reference field="4294967294" count="1" selected="0">
            <x v="1"/>
          </reference>
        </references>
      </pivotArea>
    </chartFormat>
    <chartFormat chart="91" format="1"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1"/>
          </reference>
        </references>
      </pivotArea>
    </chartFormat>
    <chartFormat chart="96" format="21" series="1">
      <pivotArea type="data" outline="0" fieldPosition="0">
        <references count="1">
          <reference field="4294967294" count="1" selected="0">
            <x v="0"/>
          </reference>
        </references>
      </pivotArea>
    </chartFormat>
    <chartFormat chart="96" format="25" series="1">
      <pivotArea type="data" outline="0" fieldPosition="0">
        <references count="1">
          <reference field="4294967294" count="1" selected="0">
            <x v="1"/>
          </reference>
        </references>
      </pivotArea>
    </chartFormat>
    <chartFormat chart="100" format="1" series="1">
      <pivotArea type="data" outline="0" fieldPosition="0">
        <references count="1">
          <reference field="4294967294" count="1" selected="0">
            <x v="0"/>
          </reference>
        </references>
      </pivotArea>
    </chartFormat>
    <chartFormat chart="100" format="2" series="1">
      <pivotArea type="data" outline="0" fieldPosition="0">
        <references count="1">
          <reference field="4294967294" count="1" selected="0">
            <x v="1"/>
          </reference>
        </references>
      </pivotArea>
    </chartFormat>
    <chartFormat chart="109" format="19" series="1">
      <pivotArea type="data" outline="0" fieldPosition="0">
        <references count="1">
          <reference field="4294967294" count="1" selected="0">
            <x v="0"/>
          </reference>
        </references>
      </pivotArea>
    </chartFormat>
    <chartFormat chart="109" format="23" series="1">
      <pivotArea type="data" outline="0" fieldPosition="0">
        <references count="1">
          <reference field="4294967294" count="1" selected="0">
            <x v="1"/>
          </reference>
        </references>
      </pivotArea>
    </chartFormat>
    <chartFormat chart="110" format="7" series="1">
      <pivotArea type="data" outline="0" fieldPosition="0">
        <references count="1">
          <reference field="4294967294" count="1" selected="0">
            <x v="0"/>
          </reference>
        </references>
      </pivotArea>
    </chartFormat>
    <chartFormat chart="110" format="11" series="1">
      <pivotArea type="data" outline="0" fieldPosition="0">
        <references count="1">
          <reference field="4294967294" count="1" selected="0">
            <x v="1"/>
          </reference>
        </references>
      </pivotArea>
    </chartFormat>
    <chartFormat chart="111" format="19" series="1">
      <pivotArea type="data" outline="0" fieldPosition="0">
        <references count="1">
          <reference field="4294967294" count="1" selected="0">
            <x v="0"/>
          </reference>
        </references>
      </pivotArea>
    </chartFormat>
    <chartFormat chart="111" format="23" series="1">
      <pivotArea type="data" outline="0" fieldPosition="0">
        <references count="1">
          <reference field="4294967294" count="1" selected="0">
            <x v="1"/>
          </reference>
        </references>
      </pivotArea>
    </chartFormat>
    <chartFormat chart="113" format="0" series="1">
      <pivotArea type="data" outline="0" fieldPosition="0">
        <references count="1">
          <reference field="4294967294" count="1" selected="0">
            <x v="0"/>
          </reference>
        </references>
      </pivotArea>
    </chartFormat>
    <chartFormat chart="113" format="1" series="1">
      <pivotArea type="data" outline="0" fieldPosition="0">
        <references count="1">
          <reference field="4294967294" count="1" selected="0">
            <x v="1"/>
          </reference>
        </references>
      </pivotArea>
    </chartFormat>
    <chartFormat chart="119" format="0" series="1">
      <pivotArea type="data" outline="0" fieldPosition="0">
        <references count="1">
          <reference field="4294967294" count="1" selected="0">
            <x v="0"/>
          </reference>
        </references>
      </pivotArea>
    </chartFormat>
    <chartFormat chart="119" format="1" series="1">
      <pivotArea type="data" outline="0" fieldPosition="0">
        <references count="1">
          <reference field="4294967294" count="1" selected="0">
            <x v="1"/>
          </reference>
        </references>
      </pivotArea>
    </chartFormat>
    <chartFormat chart="125" format="0" series="1">
      <pivotArea type="data" outline="0" fieldPosition="0">
        <references count="1">
          <reference field="4294967294" count="1" selected="0">
            <x v="0"/>
          </reference>
        </references>
      </pivotArea>
    </chartFormat>
    <chartFormat chart="125" format="1" series="1">
      <pivotArea type="data" outline="0" fieldPosition="0">
        <references count="1">
          <reference field="4294967294" count="1" selected="0">
            <x v="1"/>
          </reference>
        </references>
      </pivotArea>
    </chartFormat>
    <chartFormat chart="128" format="6" series="1">
      <pivotArea type="data" outline="0" fieldPosition="0">
        <references count="1">
          <reference field="4294967294" count="1" selected="0">
            <x v="0"/>
          </reference>
        </references>
      </pivotArea>
    </chartFormat>
    <chartFormat chart="12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E8DA3D-E946-40D3-B123-49920D2F08A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1" rowHeaderCaption="Sub Category">
  <location ref="D3:F10" firstHeaderRow="0" firstDataRow="1" firstDataCol="1"/>
  <pivotFields count="21">
    <pivotField showAll="0"/>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showAll="0"/>
    <pivotField showAll="0">
      <items count="4">
        <item x="0"/>
        <item x="1"/>
        <item x="2"/>
        <item t="default"/>
      </items>
    </pivotField>
    <pivotField showAll="0">
      <items count="10">
        <item x="7"/>
        <item x="5"/>
        <item x="3"/>
        <item x="4"/>
        <item x="1"/>
        <item x="6"/>
        <item x="8"/>
        <item x="2"/>
        <item x="0"/>
        <item t="default"/>
      </items>
    </pivotField>
    <pivotField showAll="0">
      <items count="13">
        <item x="3"/>
        <item x="0"/>
        <item x="8"/>
        <item x="7"/>
        <item sd="0" m="1" x="10"/>
        <item sd="0" x="4"/>
        <item sd="0" m="1" x="9"/>
        <item x="2"/>
        <item x="1"/>
        <item sd="0" x="5"/>
        <item sd="0" m="1" x="11"/>
        <item sd="0" x="6"/>
        <item t="default"/>
      </items>
    </pivotField>
    <pivotField showAll="0">
      <items count="7">
        <item x="4"/>
        <item x="5"/>
        <item x="3"/>
        <item x="0"/>
        <item x="2"/>
        <item x="1"/>
        <item t="default"/>
      </items>
    </pivotField>
    <pivotField showAll="0">
      <items count="5">
        <item x="2"/>
        <item x="1"/>
        <item x="3"/>
        <item x="0"/>
        <item t="default"/>
      </items>
    </pivotField>
    <pivotField axis="axisRow" showAll="0">
      <items count="8">
        <item x="6"/>
        <item x="4"/>
        <item x="1"/>
        <item h="1" x="2"/>
        <item x="5"/>
        <item x="3"/>
        <item x="0"/>
        <item t="default"/>
      </items>
    </pivotField>
    <pivotField dataField="1" numFmtId="1" showAll="0"/>
    <pivotField showAll="0"/>
    <pivotField showAll="0"/>
    <pivotField dataField="1" numFmtId="1" showAll="0"/>
    <pivotField numFmtId="164" showAll="0"/>
    <pivotField numFmtId="3" showAll="0"/>
    <pivotField showAll="0">
      <items count="3">
        <item x="1"/>
        <item x="0"/>
        <item t="default"/>
      </items>
    </pivotField>
    <pivotField showAll="0">
      <items count="49">
        <item x="10"/>
        <item x="3"/>
        <item x="6"/>
        <item x="4"/>
        <item x="9"/>
        <item x="1"/>
        <item x="5"/>
        <item x="8"/>
        <item x="2"/>
        <item x="7"/>
        <item x="0"/>
        <item x="11"/>
        <item m="1" x="21"/>
        <item m="1" x="16"/>
        <item m="1" x="39"/>
        <item m="1" x="35"/>
        <item m="1" x="40"/>
        <item m="1" x="24"/>
        <item m="1" x="45"/>
        <item m="1" x="42"/>
        <item m="1" x="44"/>
        <item m="1" x="28"/>
        <item m="1" x="36"/>
        <item m="1" x="15"/>
        <item m="1" x="37"/>
        <item m="1" x="31"/>
        <item m="1" x="41"/>
        <item m="1" x="17"/>
        <item m="1" x="19"/>
        <item m="1" x="26"/>
        <item m="1" x="18"/>
        <item m="1" x="38"/>
        <item m="1" x="13"/>
        <item m="1" x="32"/>
        <item m="1" x="22"/>
        <item m="1" x="43"/>
        <item m="1" x="27"/>
        <item m="1" x="25"/>
        <item m="1" x="29"/>
        <item m="1" x="20"/>
        <item m="1" x="12"/>
        <item m="1" x="47"/>
        <item m="1" x="34"/>
        <item m="1" x="23"/>
        <item m="1" x="46"/>
        <item m="1" x="14"/>
        <item m="1" x="30"/>
        <item m="1" x="33"/>
        <item t="default"/>
      </items>
    </pivotField>
    <pivotField showAll="0"/>
    <pivotField showAll="0"/>
  </pivotFields>
  <rowFields count="1">
    <field x="10"/>
  </rowFields>
  <rowItems count="7">
    <i>
      <x/>
    </i>
    <i>
      <x v="1"/>
    </i>
    <i>
      <x v="2"/>
    </i>
    <i>
      <x v="4"/>
    </i>
    <i>
      <x v="5"/>
    </i>
    <i>
      <x v="6"/>
    </i>
    <i t="grand">
      <x/>
    </i>
  </rowItems>
  <colFields count="1">
    <field x="-2"/>
  </colFields>
  <colItems count="2">
    <i>
      <x/>
    </i>
    <i i="1">
      <x v="1"/>
    </i>
  </colItems>
  <dataFields count="2">
    <dataField name="Sum of Sales" fld="11" baseField="0" baseItem="0" numFmtId="165"/>
    <dataField name="Sum of Profit" fld="14" baseField="0" baseItem="0"/>
  </dataFields>
  <chartFormats count="18">
    <chartFormat chart="77" format="1" series="1">
      <pivotArea type="data" outline="0" fieldPosition="0">
        <references count="1">
          <reference field="4294967294" count="1" selected="0">
            <x v="0"/>
          </reference>
        </references>
      </pivotArea>
    </chartFormat>
    <chartFormat chart="77" format="2" series="1">
      <pivotArea type="data" outline="0" fieldPosition="0">
        <references count="1">
          <reference field="4294967294" count="1" selected="0">
            <x v="1"/>
          </reference>
        </references>
      </pivotArea>
    </chartFormat>
    <chartFormat chart="85" format="28" series="1">
      <pivotArea type="data" outline="0" fieldPosition="0">
        <references count="1">
          <reference field="4294967294" count="1" selected="0">
            <x v="0"/>
          </reference>
        </references>
      </pivotArea>
    </chartFormat>
    <chartFormat chart="85" format="32" series="1">
      <pivotArea type="data" outline="0" fieldPosition="0">
        <references count="1">
          <reference field="4294967294" count="1" selected="0">
            <x v="1"/>
          </reference>
        </references>
      </pivotArea>
    </chartFormat>
    <chartFormat chart="91" format="1"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1"/>
          </reference>
        </references>
      </pivotArea>
    </chartFormat>
    <chartFormat chart="96" format="21" series="1">
      <pivotArea type="data" outline="0" fieldPosition="0">
        <references count="1">
          <reference field="4294967294" count="1" selected="0">
            <x v="0"/>
          </reference>
        </references>
      </pivotArea>
    </chartFormat>
    <chartFormat chart="96" format="25" series="1">
      <pivotArea type="data" outline="0" fieldPosition="0">
        <references count="1">
          <reference field="4294967294" count="1" selected="0">
            <x v="1"/>
          </reference>
        </references>
      </pivotArea>
    </chartFormat>
    <chartFormat chart="100" format="1" series="1">
      <pivotArea type="data" outline="0" fieldPosition="0">
        <references count="1">
          <reference field="4294967294" count="1" selected="0">
            <x v="0"/>
          </reference>
        </references>
      </pivotArea>
    </chartFormat>
    <chartFormat chart="100" format="2" series="1">
      <pivotArea type="data" outline="0" fieldPosition="0">
        <references count="1">
          <reference field="4294967294" count="1" selected="0">
            <x v="1"/>
          </reference>
        </references>
      </pivotArea>
    </chartFormat>
    <chartFormat chart="109" format="19" series="1">
      <pivotArea type="data" outline="0" fieldPosition="0">
        <references count="1">
          <reference field="4294967294" count="1" selected="0">
            <x v="0"/>
          </reference>
        </references>
      </pivotArea>
    </chartFormat>
    <chartFormat chart="109" format="23" series="1">
      <pivotArea type="data" outline="0" fieldPosition="0">
        <references count="1">
          <reference field="4294967294" count="1" selected="0">
            <x v="1"/>
          </reference>
        </references>
      </pivotArea>
    </chartFormat>
    <chartFormat chart="110" format="7" series="1">
      <pivotArea type="data" outline="0" fieldPosition="0">
        <references count="1">
          <reference field="4294967294" count="1" selected="0">
            <x v="0"/>
          </reference>
        </references>
      </pivotArea>
    </chartFormat>
    <chartFormat chart="110" format="11" series="1">
      <pivotArea type="data" outline="0" fieldPosition="0">
        <references count="1">
          <reference field="4294967294" count="1" selected="0">
            <x v="1"/>
          </reference>
        </references>
      </pivotArea>
    </chartFormat>
    <chartFormat chart="111" format="19" series="1">
      <pivotArea type="data" outline="0" fieldPosition="0">
        <references count="1">
          <reference field="4294967294" count="1" selected="0">
            <x v="0"/>
          </reference>
        </references>
      </pivotArea>
    </chartFormat>
    <chartFormat chart="111" format="23" series="1">
      <pivotArea type="data" outline="0" fieldPosition="0">
        <references count="1">
          <reference field="4294967294" count="1" selected="0">
            <x v="1"/>
          </reference>
        </references>
      </pivotArea>
    </chartFormat>
    <chartFormat chart="128" format="6" series="1">
      <pivotArea type="data" outline="0" fieldPosition="0">
        <references count="1">
          <reference field="4294967294" count="1" selected="0">
            <x v="0"/>
          </reference>
        </references>
      </pivotArea>
    </chartFormat>
    <chartFormat chart="12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2C30F4-8017-45B8-8C90-2128B1521AC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2" rowHeaderCaption="State">
  <location ref="A18:B27" firstHeaderRow="1" firstDataRow="1" firstDataCol="1"/>
  <pivotFields count="21">
    <pivotField showAll="0"/>
    <pivotField numFmtId="14" showAll="0">
      <items count="294">
        <item x="39"/>
        <item x="263"/>
        <item x="101"/>
        <item x="239"/>
        <item x="84"/>
        <item x="282"/>
        <item x="214"/>
        <item x="164"/>
        <item x="188"/>
        <item x="137"/>
        <item x="81"/>
        <item x="266"/>
        <item x="48"/>
        <item x="88"/>
        <item x="19"/>
        <item x="46"/>
        <item x="79"/>
        <item x="72"/>
        <item x="21"/>
        <item x="189"/>
        <item x="27"/>
        <item x="132"/>
        <item x="119"/>
        <item x="95"/>
        <item x="83"/>
        <item x="171"/>
        <item x="262"/>
        <item x="9"/>
        <item x="255"/>
        <item x="90"/>
        <item x="23"/>
        <item x="41"/>
        <item x="160"/>
        <item x="221"/>
        <item x="147"/>
        <item x="152"/>
        <item x="128"/>
        <item x="292"/>
        <item x="181"/>
        <item x="80"/>
        <item x="18"/>
        <item x="154"/>
        <item x="149"/>
        <item x="123"/>
        <item x="210"/>
        <item x="77"/>
        <item x="38"/>
        <item x="89"/>
        <item x="191"/>
        <item x="225"/>
        <item x="44"/>
        <item x="139"/>
        <item x="6"/>
        <item x="157"/>
        <item x="231"/>
        <item x="176"/>
        <item x="5"/>
        <item x="86"/>
        <item x="187"/>
        <item x="76"/>
        <item x="288"/>
        <item x="233"/>
        <item x="264"/>
        <item x="31"/>
        <item x="267"/>
        <item x="102"/>
        <item x="66"/>
        <item x="58"/>
        <item x="36"/>
        <item x="192"/>
        <item x="151"/>
        <item x="94"/>
        <item x="61"/>
        <item x="238"/>
        <item x="287"/>
        <item x="69"/>
        <item x="113"/>
        <item x="196"/>
        <item x="112"/>
        <item x="57"/>
        <item x="162"/>
        <item x="230"/>
        <item x="2"/>
        <item x="177"/>
        <item x="183"/>
        <item x="40"/>
        <item x="111"/>
        <item x="182"/>
        <item x="127"/>
        <item x="144"/>
        <item x="33"/>
        <item x="130"/>
        <item x="12"/>
        <item x="8"/>
        <item x="59"/>
        <item x="68"/>
        <item x="49"/>
        <item x="289"/>
        <item x="240"/>
        <item x="135"/>
        <item x="277"/>
        <item x="216"/>
        <item x="228"/>
        <item x="120"/>
        <item x="290"/>
        <item x="270"/>
        <item x="247"/>
        <item x="136"/>
        <item x="25"/>
        <item x="169"/>
        <item x="35"/>
        <item x="224"/>
        <item x="201"/>
        <item x="249"/>
        <item x="219"/>
        <item x="281"/>
        <item x="50"/>
        <item x="248"/>
        <item x="42"/>
        <item x="173"/>
        <item x="37"/>
        <item x="211"/>
        <item x="10"/>
        <item x="51"/>
        <item x="17"/>
        <item x="254"/>
        <item x="179"/>
        <item x="30"/>
        <item x="115"/>
        <item x="265"/>
        <item x="106"/>
        <item x="74"/>
        <item x="54"/>
        <item x="227"/>
        <item x="241"/>
        <item x="4"/>
        <item x="93"/>
        <item x="63"/>
        <item x="71"/>
        <item x="218"/>
        <item x="47"/>
        <item x="34"/>
        <item x="100"/>
        <item x="73"/>
        <item x="261"/>
        <item x="286"/>
        <item x="159"/>
        <item x="45"/>
        <item x="15"/>
        <item x="212"/>
        <item x="129"/>
        <item x="217"/>
        <item x="52"/>
        <item x="200"/>
        <item x="56"/>
        <item x="204"/>
        <item x="104"/>
        <item x="174"/>
        <item x="124"/>
        <item x="199"/>
        <item x="244"/>
        <item x="114"/>
        <item x="7"/>
        <item x="206"/>
        <item x="96"/>
        <item x="279"/>
        <item x="170"/>
        <item x="284"/>
        <item x="167"/>
        <item x="280"/>
        <item x="165"/>
        <item x="168"/>
        <item x="97"/>
        <item x="150"/>
        <item x="180"/>
        <item x="190"/>
        <item x="60"/>
        <item x="126"/>
        <item x="283"/>
        <item x="78"/>
        <item x="278"/>
        <item x="198"/>
        <item x="105"/>
        <item x="92"/>
        <item x="175"/>
        <item x="276"/>
        <item x="275"/>
        <item x="24"/>
        <item x="246"/>
        <item x="11"/>
        <item x="223"/>
        <item x="140"/>
        <item x="184"/>
        <item x="155"/>
        <item x="0"/>
        <item x="203"/>
        <item x="232"/>
        <item x="226"/>
        <item x="65"/>
        <item x="98"/>
        <item x="156"/>
        <item x="29"/>
        <item x="258"/>
        <item x="138"/>
        <item x="91"/>
        <item x="197"/>
        <item x="143"/>
        <item x="75"/>
        <item x="208"/>
        <item x="272"/>
        <item x="178"/>
        <item x="141"/>
        <item x="251"/>
        <item x="243"/>
        <item x="121"/>
        <item x="134"/>
        <item x="213"/>
        <item x="145"/>
        <item x="250"/>
        <item x="67"/>
        <item x="202"/>
        <item x="207"/>
        <item x="205"/>
        <item x="291"/>
        <item x="108"/>
        <item x="153"/>
        <item x="26"/>
        <item x="256"/>
        <item x="14"/>
        <item x="53"/>
        <item x="252"/>
        <item x="3"/>
        <item x="158"/>
        <item x="215"/>
        <item x="260"/>
        <item x="125"/>
        <item x="271"/>
        <item x="122"/>
        <item x="87"/>
        <item x="131"/>
        <item x="103"/>
        <item x="146"/>
        <item x="186"/>
        <item x="195"/>
        <item x="55"/>
        <item x="142"/>
        <item x="193"/>
        <item x="99"/>
        <item x="22"/>
        <item x="110"/>
        <item x="235"/>
        <item x="133"/>
        <item x="43"/>
        <item x="64"/>
        <item x="259"/>
        <item x="194"/>
        <item x="245"/>
        <item x="242"/>
        <item x="172"/>
        <item x="274"/>
        <item x="222"/>
        <item x="107"/>
        <item x="28"/>
        <item x="1"/>
        <item x="257"/>
        <item x="117"/>
        <item x="237"/>
        <item x="62"/>
        <item x="82"/>
        <item x="234"/>
        <item x="163"/>
        <item x="70"/>
        <item x="273"/>
        <item x="85"/>
        <item x="16"/>
        <item x="285"/>
        <item x="20"/>
        <item x="220"/>
        <item x="253"/>
        <item x="13"/>
        <item x="229"/>
        <item x="116"/>
        <item x="185"/>
        <item x="32"/>
        <item x="268"/>
        <item x="236"/>
        <item x="269"/>
        <item x="161"/>
        <item x="166"/>
        <item x="109"/>
        <item x="148"/>
        <item x="209"/>
        <item x="118"/>
        <item t="default"/>
      </items>
    </pivotField>
    <pivotField numFmtId="14"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items count="10">
        <item x="7"/>
        <item x="5"/>
        <item x="3"/>
        <item x="4"/>
        <item x="1"/>
        <item x="6"/>
        <item x="8"/>
        <item x="2"/>
        <item x="0"/>
        <item t="default"/>
      </items>
    </pivotField>
    <pivotField axis="axisRow" showAll="0" sortType="ascending">
      <items count="13">
        <item x="3"/>
        <item x="0"/>
        <item x="8"/>
        <item x="7"/>
        <item sd="0" m="1" x="10"/>
        <item sd="0" x="4"/>
        <item h="1" sd="0" m="1" x="9"/>
        <item x="2"/>
        <item x="1"/>
        <item sd="0" x="5"/>
        <item sd="0" m="1" x="11"/>
        <item h="1" sd="0" x="6"/>
        <item t="default"/>
      </items>
      <autoSortScope>
        <pivotArea dataOnly="0" outline="0" fieldPosition="0">
          <references count="1">
            <reference field="4294967294" count="1" selected="0">
              <x v="0"/>
            </reference>
          </references>
        </pivotArea>
      </autoSortScope>
    </pivotField>
    <pivotField showAll="0">
      <items count="7">
        <item x="4"/>
        <item x="5"/>
        <item x="3"/>
        <item x="0"/>
        <item x="2"/>
        <item x="1"/>
        <item t="default"/>
      </items>
    </pivotField>
    <pivotField showAll="0">
      <items count="5">
        <item x="2"/>
        <item x="1"/>
        <item x="3"/>
        <item x="0"/>
        <item t="default"/>
      </items>
    </pivotField>
    <pivotField showAll="0"/>
    <pivotField numFmtId="1" showAll="0"/>
    <pivotField showAll="0"/>
    <pivotField showAll="0"/>
    <pivotField dataField="1" numFmtId="1" showAll="0"/>
    <pivotField numFmtId="164" showAll="0"/>
    <pivotField numFmtId="3" showAll="0"/>
    <pivotField showAll="0"/>
    <pivotField showAll="0">
      <items count="49">
        <item x="10"/>
        <item x="3"/>
        <item x="6"/>
        <item x="4"/>
        <item x="9"/>
        <item x="1"/>
        <item x="5"/>
        <item x="8"/>
        <item x="2"/>
        <item x="7"/>
        <item x="0"/>
        <item x="11"/>
        <item m="1" x="21"/>
        <item m="1" x="16"/>
        <item m="1" x="39"/>
        <item m="1" x="35"/>
        <item m="1" x="40"/>
        <item m="1" x="24"/>
        <item m="1" x="45"/>
        <item m="1" x="42"/>
        <item m="1" x="44"/>
        <item m="1" x="28"/>
        <item m="1" x="36"/>
        <item m="1" x="15"/>
        <item m="1" x="37"/>
        <item m="1" x="31"/>
        <item m="1" x="41"/>
        <item m="1" x="17"/>
        <item m="1" x="19"/>
        <item m="1" x="26"/>
        <item m="1" x="18"/>
        <item m="1" x="38"/>
        <item m="1" x="13"/>
        <item m="1" x="32"/>
        <item m="1" x="22"/>
        <item m="1" x="43"/>
        <item m="1" x="27"/>
        <item m="1" x="25"/>
        <item m="1" x="29"/>
        <item m="1" x="20"/>
        <item m="1" x="12"/>
        <item m="1" x="47"/>
        <item m="1" x="34"/>
        <item m="1" x="23"/>
        <item m="1" x="46"/>
        <item m="1" x="14"/>
        <item m="1" x="30"/>
        <item m="1" x="33"/>
        <item t="default"/>
      </items>
    </pivotField>
    <pivotField showAll="0"/>
    <pivotField showAll="0"/>
  </pivotFields>
  <rowFields count="1">
    <field x="7"/>
  </rowFields>
  <rowItems count="9">
    <i>
      <x v="2"/>
    </i>
    <i>
      <x/>
    </i>
    <i>
      <x v="3"/>
    </i>
    <i>
      <x v="1"/>
    </i>
    <i>
      <x v="8"/>
    </i>
    <i>
      <x v="7"/>
    </i>
    <i>
      <x v="5"/>
    </i>
    <i>
      <x v="9"/>
    </i>
    <i t="grand">
      <x/>
    </i>
  </rowItems>
  <colItems count="1">
    <i/>
  </colItems>
  <dataFields count="1">
    <dataField name="Sum of Profit" fld="14" baseField="0" baseItem="0" numFmtId="165"/>
  </dataFields>
  <chartFormats count="6">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25B1D91B-A99C-4BEE-B225-963BFC7FA035}" autoFormatId="16" applyNumberFormats="0" applyBorderFormats="0" applyFontFormats="0" applyPatternFormats="0" applyAlignmentFormats="0" applyWidthHeightFormats="0">
  <queryTableRefresh nextId="25" unboundColumnsRight="6">
    <queryTableFields count="21">
      <queryTableField id="1" name="Order ID" tableColumnId="1"/>
      <queryTableField id="2" name="Order Date" tableColumnId="2"/>
      <queryTableField id="3" name="Ship Date" tableColumnId="3"/>
      <queryTableField id="4" name="Ship Mode" tableColumnId="4"/>
      <queryTableField id="5" name="Customer Name" tableColumnId="5"/>
      <queryTableField id="6" name="Segment" tableColumnId="6"/>
      <queryTableField id="7" name="City" tableColumnId="7"/>
      <queryTableField id="8" name="State" tableColumnId="8"/>
      <queryTableField id="9" name="Region" tableColumnId="9"/>
      <queryTableField id="10" name="Category" tableColumnId="10"/>
      <queryTableField id="11" name="Sub-Category" tableColumnId="11"/>
      <queryTableField id="12" name="Sales" tableColumnId="12"/>
      <queryTableField id="13" name="Quantity" tableColumnId="13"/>
      <queryTableField id="14" name="Discount" tableColumnId="14"/>
      <queryTableField id="15" name="Profit" tableColumnId="15"/>
      <queryTableField id="18" dataBound="0" tableColumnId="18"/>
      <queryTableField id="19" dataBound="0" tableColumnId="19"/>
      <queryTableField id="20" dataBound="0" tableColumnId="20"/>
      <queryTableField id="21" dataBound="0" tableColumnId="16"/>
      <queryTableField id="22" dataBound="0" tableColumnId="17"/>
      <queryTableField id="24"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6E13C2-5C34-4D59-8569-8538BAC1442C}" sourceName="Category">
  <pivotTables>
    <pivotTable tabId="20" name="PivotTable1"/>
    <pivotTable tabId="20" name="PivotTable4"/>
    <pivotTable tabId="20" name="PivotTable5"/>
    <pivotTable tabId="20" name="PivotTable9"/>
    <pivotTable tabId="20" name="PivotTable6"/>
    <pivotTable tabId="20" name="PivotTable7"/>
  </pivotTables>
  <data>
    <tabular pivotCacheId="368554725" customListSort="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A396EBB-E55F-4E80-84CF-60BFD17BAA73}" sourceName="Month">
  <pivotTables>
    <pivotTable tabId="20" name="PivotTable1"/>
    <pivotTable tabId="20" name="PivotTable4"/>
    <pivotTable tabId="20" name="PivotTable5"/>
    <pivotTable tabId="20" name="PivotTable9"/>
    <pivotTable tabId="20" name="PivotTable6"/>
    <pivotTable tabId="20" name="PivotTable7"/>
  </pivotTables>
  <data>
    <tabular pivotCacheId="368554725">
      <items count="48">
        <i x="10" s="1"/>
        <i x="3" s="1"/>
        <i x="6" s="1"/>
        <i x="4" s="1"/>
        <i x="9" s="1"/>
        <i x="1" s="1"/>
        <i x="5" s="1"/>
        <i x="8" s="1"/>
        <i x="2" s="1"/>
        <i x="7" s="1"/>
        <i x="0" s="1"/>
        <i x="11" s="1"/>
        <i x="21" s="1" nd="1"/>
        <i x="16" s="1" nd="1"/>
        <i x="39" s="1" nd="1"/>
        <i x="35" s="1" nd="1"/>
        <i x="40" s="1" nd="1"/>
        <i x="24" s="1" nd="1"/>
        <i x="45" s="1" nd="1"/>
        <i x="42" s="1" nd="1"/>
        <i x="44" s="1" nd="1"/>
        <i x="28" s="1" nd="1"/>
        <i x="36" s="1" nd="1"/>
        <i x="15" s="1" nd="1"/>
        <i x="37" s="1" nd="1"/>
        <i x="31" s="1" nd="1"/>
        <i x="41" s="1" nd="1"/>
        <i x="17" s="1" nd="1"/>
        <i x="19" s="1" nd="1"/>
        <i x="26" s="1" nd="1"/>
        <i x="18" s="1" nd="1"/>
        <i x="38" s="1" nd="1"/>
        <i x="13" s="1" nd="1"/>
        <i x="32" s="1" nd="1"/>
        <i x="22" s="1" nd="1"/>
        <i x="43" s="1" nd="1"/>
        <i x="27" s="1" nd="1"/>
        <i x="25" s="1" nd="1"/>
        <i x="29" s="1" nd="1"/>
        <i x="20" s="1" nd="1"/>
        <i x="12" s="1" nd="1"/>
        <i x="47" s="1" nd="1"/>
        <i x="34" s="1" nd="1"/>
        <i x="23" s="1" nd="1"/>
        <i x="46" s="1" nd="1"/>
        <i x="14" s="1" nd="1"/>
        <i x="30" s="1" nd="1"/>
        <i x="3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134A70-6EC2-481A-BB25-19BCCA35F95C}" sourceName="City">
  <pivotTables>
    <pivotTable tabId="20" name="PivotTable1"/>
    <pivotTable tabId="20" name="PivotTable4"/>
    <pivotTable tabId="20" name="PivotTable5"/>
    <pivotTable tabId="20" name="PivotTable9"/>
    <pivotTable tabId="20" name="PivotTable6"/>
    <pivotTable tabId="20" name="PivotTable7"/>
  </pivotTables>
  <data>
    <tabular pivotCacheId="368554725">
      <items count="9">
        <i x="7" s="1"/>
        <i x="5" s="1"/>
        <i x="3" s="1"/>
        <i x="4" s="1"/>
        <i x="1" s="1"/>
        <i x="6" s="1"/>
        <i x="8"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8D3428-7844-46C2-8239-2C82117B57C2}" sourceName="Region">
  <pivotTables>
    <pivotTable tabId="20" name="PivotTable5"/>
    <pivotTable tabId="20" name="PivotTable1"/>
    <pivotTable tabId="20" name="PivotTable4"/>
    <pivotTable tabId="20" name="PivotTable6"/>
    <pivotTable tabId="20" name="PivotTable9"/>
    <pivotTable tabId="20" name="PivotTable7"/>
  </pivotTables>
  <data>
    <tabular pivotCacheId="368554725">
      <items count="6">
        <i x="4" s="1"/>
        <i x="5" s="1"/>
        <i x="3" s="1"/>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FDD4693-35E5-469E-815B-E35A8A4E4E40}" cache="Slicer_Month1" caption="Month" rowHeight="234950"/>
  <slicer name="City" xr10:uid="{EC7E532C-1FE1-4F62-96A1-8AC26AAE9A3B}"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988E2844-612E-44D8-BA11-6580AE48F812}" cache="Slicer_Category" caption="Category" columnCount="2" rowHeight="234950"/>
  <slicer name="Region 1" xr10:uid="{2F9D2589-311A-47C3-8CCC-9181785E45F1}"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9B4DC5-4E5A-4404-B371-35DCF584303D}" name="Table1_2" displayName="Table1_2" ref="A1:U335" tableType="queryTable" totalsRowShown="0">
  <autoFilter ref="A1:U335" xr:uid="{3B9B4DC5-4E5A-4404-B371-35DCF584303D}"/>
  <tableColumns count="21">
    <tableColumn id="1" xr3:uid="{A10FBC29-7C4D-40FB-AEB3-2B897702832B}" uniqueName="1" name="Order ID" queryTableFieldId="1"/>
    <tableColumn id="2" xr3:uid="{ABDDE8D8-452A-4ABB-9B23-7A971572A7A4}" uniqueName="2" name="Order Date" queryTableFieldId="2" dataDxfId="14"/>
    <tableColumn id="3" xr3:uid="{06CC891B-9DF5-4616-A0BB-21F10C13F190}" uniqueName="3" name="Ship Date" queryTableFieldId="3" dataDxfId="13"/>
    <tableColumn id="4" xr3:uid="{E19DE67B-0790-4B2E-A37A-0EDE9AEAD3F1}" uniqueName="4" name="Ship Mode" queryTableFieldId="4"/>
    <tableColumn id="5" xr3:uid="{D016C385-4B9F-4876-8F78-B4087A98F599}" uniqueName="5" name="Customer Name" queryTableFieldId="5"/>
    <tableColumn id="6" xr3:uid="{2C412673-A896-42F5-B74F-C3CE7E3DB7C9}" uniqueName="6" name="Segment" queryTableFieldId="6"/>
    <tableColumn id="7" xr3:uid="{E60FE724-629D-47A9-853C-E9E24EF3F973}" uniqueName="7" name="City" queryTableFieldId="7" dataDxfId="12"/>
    <tableColumn id="8" xr3:uid="{930A848A-7236-4DB9-A7FC-1DF074CE4761}" uniqueName="8" name="State" queryTableFieldId="8" dataDxfId="11"/>
    <tableColumn id="9" xr3:uid="{54E54F42-6B44-45B7-9984-C0E649F79339}" uniqueName="9" name="Region" queryTableFieldId="9" dataDxfId="10"/>
    <tableColumn id="10" xr3:uid="{4598245B-44AD-4537-A036-9003F7696AE6}" uniqueName="10" name="Category" queryTableFieldId="10"/>
    <tableColumn id="11" xr3:uid="{2C83D3F0-AF10-462E-AAA1-F72494216C67}" uniqueName="11" name="Sub-Category" queryTableFieldId="11"/>
    <tableColumn id="12" xr3:uid="{5648D9EA-F065-43C2-8B1D-E3CCD8FF89D1}" uniqueName="12" name="Sales" queryTableFieldId="12" dataDxfId="9"/>
    <tableColumn id="13" xr3:uid="{E7A6224C-24F7-4951-96A8-083633C8536E}" uniqueName="13" name="Quantity" queryTableFieldId="13"/>
    <tableColumn id="14" xr3:uid="{7DA44A4B-51DC-42DF-AD55-793AD4D99868}" uniqueName="14" name="Discount" queryTableFieldId="14" dataDxfId="8"/>
    <tableColumn id="15" xr3:uid="{B9E4E130-B8E1-4935-B9B2-2F034C2DCD8D}" uniqueName="15" name="Profit" queryTableFieldId="15" dataDxfId="7"/>
    <tableColumn id="18" xr3:uid="{9188D222-D9DA-415E-97A1-0907D51E5323}" uniqueName="18" name="Profit Margin" queryTableFieldId="18" dataDxfId="6">
      <calculatedColumnFormula>IF(Table1_2[[#This Row],[Sales]]=0, 0,Table1_2[[#This Row],[Profit]]/Table1_2[[#This Row],[Sales]])</calculatedColumnFormula>
    </tableColumn>
    <tableColumn id="19" xr3:uid="{CD340975-C6CC-451F-8697-392B3183C512}" uniqueName="19" name="Avg Order Value" queryTableFieldId="19" dataDxfId="5">
      <calculatedColumnFormula>Table1_2[[#This Row],[Sales]]/Table1_2[[#This Row],[Quantity]]</calculatedColumnFormula>
    </tableColumn>
    <tableColumn id="20" xr3:uid="{99847389-1CD7-4505-881C-754B5EB27958}" uniqueName="20" name="Is Loss" queryTableFieldId="20" dataDxfId="4">
      <calculatedColumnFormula>IF(Table1_2[[#This Row],[Profit]]&gt;0, "YES", "NO")</calculatedColumnFormula>
    </tableColumn>
    <tableColumn id="16" xr3:uid="{A1E214DE-AEDE-4E3B-91BF-56CFC11A1735}" uniqueName="16" name="Month" queryTableFieldId="21" dataDxfId="3">
      <calculatedColumnFormula>TEXT(Table1_2[[#This Row],[Order Date]], "MMM")</calculatedColumnFormula>
    </tableColumn>
    <tableColumn id="17" xr3:uid="{7F7576F0-BAD6-419E-9214-20D743EEA4DA}" uniqueName="17" name="Year  Sales" queryTableFieldId="22" dataDxfId="2">
      <calculatedColumnFormula>TEXT(Table1_2[[#This Row],[Ship Date]],"YYYY")</calculatedColumnFormula>
    </tableColumn>
    <tableColumn id="21" xr3:uid="{F957F547-B434-48F0-9C08-AF44D51EAD46}" uniqueName="21" name="Month No." queryTableFieldId="24" dataDxfId="1">
      <calculatedColumnFormula>MONTH(1&amp;Table1_2[[#This Row],[Month]])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CE3CAB-5696-497B-B462-2821D2255653}" name="Table2" displayName="Table2" ref="E14:F18" totalsRowShown="0">
  <autoFilter ref="E14:F18" xr:uid="{E3CE3CAB-5696-497B-B462-2821D2255653}"/>
  <tableColumns count="2">
    <tableColumn id="1" xr3:uid="{8EE5A040-F026-4AE8-8975-15EBCF520635}" name="KPI"/>
    <tableColumn id="2" xr3:uid="{1864DB4C-4E6D-4B24-A4AB-2076DB7E2EE4}" name="Valu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AE33C81-F7F4-4E60-B2FD-ECE5C1D2A80D}" sourceName="Order Date">
  <pivotTables>
    <pivotTable tabId="20" name="PivotTable1"/>
    <pivotTable tabId="20" name="PivotTable4"/>
    <pivotTable tabId="20" name="PivotTable5"/>
    <pivotTable tabId="20" name="PivotTable9"/>
    <pivotTable tabId="20" name="PivotTable6"/>
    <pivotTable tabId="20" name="PivotTable7"/>
  </pivotTables>
  <state minimalRefreshVersion="6" lastRefreshVersion="6" pivotCacheId="368554725"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D5D9ECFC-2294-497D-A8E0-5AF0E82F8CE5}" cache="NativeTimeline_Order_Date" caption="Order Date" level="2" selectionLevel="2" scrollPosition="2023-01-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6CED0-7E82-404E-AFEB-A9493FA4B6AB}">
  <dimension ref="A1:U335"/>
  <sheetViews>
    <sheetView workbookViewId="0">
      <selection activeCell="W3" sqref="W3"/>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6.88671875" bestFit="1" customWidth="1"/>
    <col min="6" max="6" width="11.33203125" bestFit="1" customWidth="1"/>
    <col min="7" max="7" width="10.6640625" bestFit="1" customWidth="1"/>
    <col min="8" max="8" width="12.21875" bestFit="1" customWidth="1"/>
    <col min="9" max="9" width="9" bestFit="1" customWidth="1"/>
    <col min="10" max="10" width="12.5546875" bestFit="1" customWidth="1"/>
    <col min="11" max="11" width="14.6640625" bestFit="1" customWidth="1"/>
    <col min="12" max="12" width="11" bestFit="1" customWidth="1"/>
    <col min="13" max="14" width="10.5546875" bestFit="1" customWidth="1"/>
    <col min="15" max="15" width="10.6640625" bestFit="1" customWidth="1"/>
    <col min="16" max="16" width="14.88671875" customWidth="1"/>
    <col min="17" max="17" width="11.5546875" customWidth="1"/>
    <col min="19" max="19" width="12.109375" customWidth="1"/>
    <col min="20" max="20" width="12.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391</v>
      </c>
      <c r="Q1" t="s">
        <v>393</v>
      </c>
      <c r="R1" t="s">
        <v>392</v>
      </c>
      <c r="S1" t="s">
        <v>394</v>
      </c>
      <c r="T1" t="s">
        <v>401</v>
      </c>
      <c r="U1" t="s">
        <v>416</v>
      </c>
    </row>
    <row r="2" spans="1:21" x14ac:dyDescent="0.3">
      <c r="A2" t="s">
        <v>15</v>
      </c>
      <c r="B2" s="2">
        <v>44868</v>
      </c>
      <c r="C2" s="2">
        <v>44327</v>
      </c>
      <c r="D2" t="s">
        <v>349</v>
      </c>
      <c r="E2" t="s">
        <v>353</v>
      </c>
      <c r="F2" t="s">
        <v>361</v>
      </c>
      <c r="G2" s="1" t="s">
        <v>415</v>
      </c>
      <c r="H2" s="1" t="s">
        <v>376</v>
      </c>
      <c r="I2" s="1" t="s">
        <v>381</v>
      </c>
      <c r="J2" t="s">
        <v>386</v>
      </c>
      <c r="K2" t="str">
        <f ca="1">TRIM(Table1_2[[#This Row],[Sub-Category]])</f>
        <v>Tables</v>
      </c>
      <c r="L2" s="5">
        <v>271.10000000000002</v>
      </c>
      <c r="M2">
        <v>1</v>
      </c>
      <c r="N2" s="17">
        <v>0.19</v>
      </c>
      <c r="O2" s="5">
        <v>649.59</v>
      </c>
      <c r="P2" s="8">
        <f>IF(Table1_2[[#This Row],[Sales]]=0, 0,Table1_2[[#This Row],[Profit]]/Table1_2[[#This Row],[Sales]])</f>
        <v>2.3961268904463298</v>
      </c>
      <c r="Q2" s="7">
        <f>Table1_2[[#This Row],[Sales]]/Table1_2[[#This Row],[Quantity]]</f>
        <v>271.10000000000002</v>
      </c>
      <c r="R2" t="str">
        <f>IF(Table1_2[[#This Row],[Profit]]&gt;0, "YES", "NO")</f>
        <v>YES</v>
      </c>
      <c r="S2" t="str">
        <f>TEXT(Table1_2[[#This Row],[Order Date]], "MMM")</f>
        <v>Nov</v>
      </c>
      <c r="T2" t="str">
        <f>TEXT(Table1_2[[#This Row],[Ship Date]],"YYYY")</f>
        <v>2021</v>
      </c>
      <c r="U2" s="1">
        <f>MONTH(1&amp;Table1_2[[#This Row],[Month]])</f>
        <v>11</v>
      </c>
    </row>
    <row r="3" spans="1:21" x14ac:dyDescent="0.3">
      <c r="A3" t="s">
        <v>16</v>
      </c>
      <c r="B3" s="2">
        <v>45099</v>
      </c>
      <c r="C3" s="2">
        <v>44823</v>
      </c>
      <c r="D3" t="s">
        <v>349</v>
      </c>
      <c r="E3" t="s">
        <v>354</v>
      </c>
      <c r="F3" t="s">
        <v>361</v>
      </c>
      <c r="G3" s="1" t="s">
        <v>365</v>
      </c>
      <c r="H3" s="1" t="s">
        <v>379</v>
      </c>
      <c r="I3" s="1" t="s">
        <v>382</v>
      </c>
      <c r="J3" t="s">
        <v>372</v>
      </c>
      <c r="K3" t="str">
        <f ca="1">TRIM(Table1_2[[#This Row],[Sub-Category]])</f>
        <v>Chairs</v>
      </c>
      <c r="L3" s="5">
        <v>1280</v>
      </c>
      <c r="M3">
        <v>9</v>
      </c>
      <c r="N3" s="17">
        <v>0.42</v>
      </c>
      <c r="O3" s="5">
        <v>55.08</v>
      </c>
      <c r="P3" s="8">
        <f>IF(Table1_2[[#This Row],[Sales]]=0, 0,Table1_2[[#This Row],[Profit]]/Table1_2[[#This Row],[Sales]])</f>
        <v>4.303125E-2</v>
      </c>
      <c r="Q3" s="7">
        <f>Table1_2[[#This Row],[Sales]]/Table1_2[[#This Row],[Quantity]]</f>
        <v>142.22222222222223</v>
      </c>
      <c r="R3" t="str">
        <f>IF(Table1_2[[#This Row],[Profit]]&gt;0, "YES", "NO")</f>
        <v>YES</v>
      </c>
      <c r="S3" t="str">
        <f>TEXT(Table1_2[[#This Row],[Order Date]], "MMM")</f>
        <v>Jun</v>
      </c>
      <c r="T3" t="str">
        <f>TEXT(Table1_2[[#This Row],[Ship Date]],"YYYY")</f>
        <v>2022</v>
      </c>
      <c r="U3" s="1">
        <f>MONTH(1&amp;Table1_2[[#This Row],[Month]])</f>
        <v>6</v>
      </c>
    </row>
    <row r="4" spans="1:21" x14ac:dyDescent="0.3">
      <c r="A4" t="s">
        <v>17</v>
      </c>
      <c r="B4" s="2">
        <v>44464</v>
      </c>
      <c r="C4" s="2">
        <v>44262</v>
      </c>
      <c r="D4" t="s">
        <v>350</v>
      </c>
      <c r="E4" t="s">
        <v>355</v>
      </c>
      <c r="F4" t="s">
        <v>361</v>
      </c>
      <c r="G4" s="1" t="s">
        <v>415</v>
      </c>
      <c r="H4" s="1" t="s">
        <v>379</v>
      </c>
      <c r="I4" s="1" t="s">
        <v>384</v>
      </c>
      <c r="J4" t="s">
        <v>372</v>
      </c>
      <c r="K4" t="str">
        <f ca="1">TRIM(Table1_2[[#This Row],[Sub-Category]])</f>
        <v>NA</v>
      </c>
      <c r="L4" s="5">
        <v>427</v>
      </c>
      <c r="M4">
        <v>7</v>
      </c>
      <c r="N4" s="17">
        <v>0.14000000000000001</v>
      </c>
      <c r="O4" s="5">
        <v>515.63</v>
      </c>
      <c r="P4" s="8">
        <f>IF(Table1_2[[#This Row],[Sales]]=0, 0,Table1_2[[#This Row],[Profit]]/Table1_2[[#This Row],[Sales]])</f>
        <v>1.2075644028103045</v>
      </c>
      <c r="Q4" s="7">
        <f>Table1_2[[#This Row],[Sales]]/Table1_2[[#This Row],[Quantity]]</f>
        <v>61</v>
      </c>
      <c r="R4" t="str">
        <f>IF(Table1_2[[#This Row],[Profit]]&gt;0, "YES", "NO")</f>
        <v>YES</v>
      </c>
      <c r="S4" t="str">
        <f>TEXT(Table1_2[[#This Row],[Order Date]], "MMM")</f>
        <v>Sep</v>
      </c>
      <c r="T4" t="str">
        <f>TEXT(Table1_2[[#This Row],[Ship Date]],"YYYY")</f>
        <v>2021</v>
      </c>
      <c r="U4" s="1">
        <f>MONTH(1&amp;Table1_2[[#This Row],[Month]])</f>
        <v>9</v>
      </c>
    </row>
    <row r="5" spans="1:21" x14ac:dyDescent="0.3">
      <c r="A5" t="s">
        <v>18</v>
      </c>
      <c r="B5" s="2">
        <v>44984</v>
      </c>
      <c r="C5" s="2">
        <v>44518</v>
      </c>
      <c r="D5" t="s">
        <v>351</v>
      </c>
      <c r="E5" t="s">
        <v>355</v>
      </c>
      <c r="F5" t="s">
        <v>361</v>
      </c>
      <c r="G5" s="1" t="s">
        <v>415</v>
      </c>
      <c r="H5" s="1" t="s">
        <v>414</v>
      </c>
      <c r="I5" s="1" t="s">
        <v>372</v>
      </c>
      <c r="J5" t="s">
        <v>386</v>
      </c>
      <c r="K5" t="str">
        <f ca="1">TRIM(Table1_2[[#This Row],[Sub-Category]])</f>
        <v>Phones</v>
      </c>
      <c r="L5" s="5">
        <v>459.02</v>
      </c>
      <c r="M5">
        <v>2</v>
      </c>
      <c r="N5" s="17">
        <v>0.46</v>
      </c>
      <c r="O5" s="5">
        <v>606</v>
      </c>
      <c r="P5" s="8">
        <f>IF(Table1_2[[#This Row],[Sales]]=0, 0,Table1_2[[#This Row],[Profit]]/Table1_2[[#This Row],[Sales]])</f>
        <v>1.3202039126835432</v>
      </c>
      <c r="Q5" s="7">
        <f>Table1_2[[#This Row],[Sales]]/Table1_2[[#This Row],[Quantity]]</f>
        <v>229.51</v>
      </c>
      <c r="R5" t="str">
        <f>IF(Table1_2[[#This Row],[Profit]]&gt;0, "YES", "NO")</f>
        <v>YES</v>
      </c>
      <c r="S5" t="str">
        <f>TEXT(Table1_2[[#This Row],[Order Date]], "MMM")</f>
        <v>Feb</v>
      </c>
      <c r="T5" t="str">
        <f>TEXT(Table1_2[[#This Row],[Ship Date]],"YYYY")</f>
        <v>2021</v>
      </c>
      <c r="U5" s="1">
        <f>MONTH(1&amp;Table1_2[[#This Row],[Month]])</f>
        <v>2</v>
      </c>
    </row>
    <row r="6" spans="1:21" x14ac:dyDescent="0.3">
      <c r="A6" t="s">
        <v>19</v>
      </c>
      <c r="B6" s="2">
        <v>44667</v>
      </c>
      <c r="C6" s="2">
        <v>44915</v>
      </c>
      <c r="D6" t="s">
        <v>349</v>
      </c>
      <c r="E6" t="s">
        <v>355</v>
      </c>
      <c r="F6" t="s">
        <v>362</v>
      </c>
      <c r="G6" s="1" t="s">
        <v>366</v>
      </c>
      <c r="H6" s="1" t="s">
        <v>374</v>
      </c>
      <c r="I6" s="1" t="s">
        <v>383</v>
      </c>
      <c r="J6" t="s">
        <v>386</v>
      </c>
      <c r="K6" t="str">
        <f ca="1">TRIM(Table1_2[[#This Row],[Sub-Category]])</f>
        <v>Tables</v>
      </c>
      <c r="L6" s="5">
        <v>1560</v>
      </c>
      <c r="M6">
        <v>1</v>
      </c>
      <c r="N6" s="17">
        <v>0.17</v>
      </c>
      <c r="O6" s="5">
        <v>277</v>
      </c>
      <c r="P6" s="8">
        <f>IF(Table1_2[[#This Row],[Sales]]=0, 0,Table1_2[[#This Row],[Profit]]/Table1_2[[#This Row],[Sales]])</f>
        <v>0.17756410256410257</v>
      </c>
      <c r="Q6" s="7">
        <f>Table1_2[[#This Row],[Sales]]/Table1_2[[#This Row],[Quantity]]</f>
        <v>1560</v>
      </c>
      <c r="R6" t="str">
        <f>IF(Table1_2[[#This Row],[Profit]]&gt;0, "YES", "NO")</f>
        <v>YES</v>
      </c>
      <c r="S6" t="str">
        <f>TEXT(Table1_2[[#This Row],[Order Date]], "MMM")</f>
        <v>Apr</v>
      </c>
      <c r="T6" t="str">
        <f>TEXT(Table1_2[[#This Row],[Ship Date]],"YYYY")</f>
        <v>2022</v>
      </c>
      <c r="U6" s="1">
        <f>MONTH(1&amp;Table1_2[[#This Row],[Month]])</f>
        <v>4</v>
      </c>
    </row>
    <row r="7" spans="1:21" x14ac:dyDescent="0.3">
      <c r="A7" t="s">
        <v>20</v>
      </c>
      <c r="B7" s="2">
        <v>44382</v>
      </c>
      <c r="C7" s="2">
        <v>45174</v>
      </c>
      <c r="D7" t="s">
        <v>350</v>
      </c>
      <c r="E7" t="s">
        <v>355</v>
      </c>
      <c r="F7" t="s">
        <v>361</v>
      </c>
      <c r="G7" s="1" t="s">
        <v>415</v>
      </c>
      <c r="H7" s="1" t="s">
        <v>374</v>
      </c>
      <c r="I7" s="1" t="s">
        <v>382</v>
      </c>
      <c r="J7" t="s">
        <v>387</v>
      </c>
      <c r="K7" t="str">
        <f ca="1">TRIM(Table1_2[[#This Row],[Sub-Category]])</f>
        <v>NA</v>
      </c>
      <c r="L7" s="5">
        <v>579</v>
      </c>
      <c r="M7">
        <v>2</v>
      </c>
      <c r="N7" s="17">
        <v>0.37</v>
      </c>
      <c r="O7" s="5">
        <v>-7.72</v>
      </c>
      <c r="P7" s="8">
        <f>IF(Table1_2[[#This Row],[Sales]]=0, 0,Table1_2[[#This Row],[Profit]]/Table1_2[[#This Row],[Sales]])</f>
        <v>-1.3333333333333332E-2</v>
      </c>
      <c r="Q7" s="7">
        <f>Table1_2[[#This Row],[Sales]]/Table1_2[[#This Row],[Quantity]]</f>
        <v>289.5</v>
      </c>
      <c r="R7" t="str">
        <f>IF(Table1_2[[#This Row],[Profit]]&gt;0, "YES", "NO")</f>
        <v>NO</v>
      </c>
      <c r="S7" t="str">
        <f>TEXT(Table1_2[[#This Row],[Order Date]], "MMM")</f>
        <v>Jul</v>
      </c>
      <c r="T7" t="str">
        <f>TEXT(Table1_2[[#This Row],[Ship Date]],"YYYY")</f>
        <v>2023</v>
      </c>
      <c r="U7" s="1">
        <f>MONTH(1&amp;Table1_2[[#This Row],[Month]])</f>
        <v>7</v>
      </c>
    </row>
    <row r="8" spans="1:21" x14ac:dyDescent="0.3">
      <c r="A8" t="s">
        <v>21</v>
      </c>
      <c r="B8" s="2">
        <v>44368</v>
      </c>
      <c r="C8" s="2">
        <v>44717</v>
      </c>
      <c r="D8" t="s">
        <v>352</v>
      </c>
      <c r="E8" t="s">
        <v>356</v>
      </c>
      <c r="F8" t="s">
        <v>361</v>
      </c>
      <c r="G8" s="1" t="s">
        <v>367</v>
      </c>
      <c r="H8" s="1" t="s">
        <v>374</v>
      </c>
      <c r="I8" s="1" t="s">
        <v>381</v>
      </c>
      <c r="J8" t="s">
        <v>372</v>
      </c>
      <c r="K8" t="str">
        <f ca="1">TRIM(Table1_2[[#This Row],[Sub-Category]])</f>
        <v>NA</v>
      </c>
      <c r="L8" s="5">
        <v>152.46</v>
      </c>
      <c r="M8">
        <v>4</v>
      </c>
      <c r="N8" s="17">
        <v>0.48</v>
      </c>
      <c r="O8" s="5">
        <v>644.77</v>
      </c>
      <c r="P8" s="8">
        <f>IF(Table1_2[[#This Row],[Sales]]=0, 0,Table1_2[[#This Row],[Profit]]/Table1_2[[#This Row],[Sales]])</f>
        <v>4.2291092745638199</v>
      </c>
      <c r="Q8" s="7">
        <f>Table1_2[[#This Row],[Sales]]/Table1_2[[#This Row],[Quantity]]</f>
        <v>38.115000000000002</v>
      </c>
      <c r="R8" t="str">
        <f>IF(Table1_2[[#This Row],[Profit]]&gt;0, "YES", "NO")</f>
        <v>YES</v>
      </c>
      <c r="S8" t="str">
        <f>TEXT(Table1_2[[#This Row],[Order Date]], "MMM")</f>
        <v>Jun</v>
      </c>
      <c r="T8" t="str">
        <f>TEXT(Table1_2[[#This Row],[Ship Date]],"YYYY")</f>
        <v>2022</v>
      </c>
      <c r="U8" s="1">
        <f>MONTH(1&amp;Table1_2[[#This Row],[Month]])</f>
        <v>6</v>
      </c>
    </row>
    <row r="9" spans="1:21" x14ac:dyDescent="0.3">
      <c r="A9" t="s">
        <v>22</v>
      </c>
      <c r="B9" s="2">
        <v>44759</v>
      </c>
      <c r="C9" s="2">
        <v>44597</v>
      </c>
      <c r="D9" t="s">
        <v>350</v>
      </c>
      <c r="E9" t="s">
        <v>357</v>
      </c>
      <c r="F9" t="s">
        <v>362</v>
      </c>
      <c r="G9" s="1" t="s">
        <v>367</v>
      </c>
      <c r="H9" s="1" t="s">
        <v>379</v>
      </c>
      <c r="I9" s="1" t="s">
        <v>382</v>
      </c>
      <c r="J9" t="s">
        <v>387</v>
      </c>
      <c r="K9" t="str">
        <f ca="1">TRIM(Table1_2[[#This Row],[Sub-Category]])</f>
        <v>Binders</v>
      </c>
      <c r="L9" s="5">
        <v>82.5</v>
      </c>
      <c r="M9">
        <v>8</v>
      </c>
      <c r="N9" s="17">
        <v>0.23</v>
      </c>
      <c r="O9" s="5">
        <v>167.51</v>
      </c>
      <c r="P9" s="8">
        <f>IF(Table1_2[[#This Row],[Sales]]=0, 0,Table1_2[[#This Row],[Profit]]/Table1_2[[#This Row],[Sales]])</f>
        <v>2.0304242424242425</v>
      </c>
      <c r="Q9" s="7">
        <f>Table1_2[[#This Row],[Sales]]/Table1_2[[#This Row],[Quantity]]</f>
        <v>10.3125</v>
      </c>
      <c r="R9" t="str">
        <f>IF(Table1_2[[#This Row],[Profit]]&gt;0, "YES", "NO")</f>
        <v>YES</v>
      </c>
      <c r="S9" t="str">
        <f>TEXT(Table1_2[[#This Row],[Order Date]], "MMM")</f>
        <v>Jul</v>
      </c>
      <c r="T9" t="str">
        <f>TEXT(Table1_2[[#This Row],[Ship Date]],"YYYY")</f>
        <v>2022</v>
      </c>
      <c r="U9" s="1">
        <f>MONTH(1&amp;Table1_2[[#This Row],[Month]])</f>
        <v>7</v>
      </c>
    </row>
    <row r="10" spans="1:21" x14ac:dyDescent="0.3">
      <c r="A10" t="s">
        <v>23</v>
      </c>
      <c r="B10" s="2">
        <v>44516</v>
      </c>
      <c r="C10" s="2">
        <v>44638</v>
      </c>
      <c r="D10" t="s">
        <v>349</v>
      </c>
      <c r="E10" t="s">
        <v>356</v>
      </c>
      <c r="F10" t="s">
        <v>361</v>
      </c>
      <c r="G10" s="1" t="s">
        <v>368</v>
      </c>
      <c r="H10" s="1" t="s">
        <v>375</v>
      </c>
      <c r="I10" s="1" t="s">
        <v>384</v>
      </c>
      <c r="J10" t="s">
        <v>387</v>
      </c>
      <c r="K10" t="str">
        <f ca="1">TRIM(Table1_2[[#This Row],[Sub-Category]])</f>
        <v>Paper</v>
      </c>
      <c r="L10" s="5">
        <v>891.92</v>
      </c>
      <c r="M10">
        <v>2</v>
      </c>
      <c r="N10" s="17">
        <v>0.03</v>
      </c>
      <c r="O10" s="5">
        <v>120.68</v>
      </c>
      <c r="P10" s="8">
        <f>IF(Table1_2[[#This Row],[Sales]]=0, 0,Table1_2[[#This Row],[Profit]]/Table1_2[[#This Row],[Sales]])</f>
        <v>0.13530361467396179</v>
      </c>
      <c r="Q10" s="7">
        <f>Table1_2[[#This Row],[Sales]]/Table1_2[[#This Row],[Quantity]]</f>
        <v>445.96</v>
      </c>
      <c r="R10" t="str">
        <f>IF(Table1_2[[#This Row],[Profit]]&gt;0, "YES", "NO")</f>
        <v>YES</v>
      </c>
      <c r="S10" t="str">
        <f>TEXT(Table1_2[[#This Row],[Order Date]], "MMM")</f>
        <v>Nov</v>
      </c>
      <c r="T10" t="str">
        <f>TEXT(Table1_2[[#This Row],[Ship Date]],"YYYY")</f>
        <v>2022</v>
      </c>
      <c r="U10" s="1">
        <f>MONTH(1&amp;Table1_2[[#This Row],[Month]])</f>
        <v>11</v>
      </c>
    </row>
    <row r="11" spans="1:21" x14ac:dyDescent="0.3">
      <c r="A11" t="s">
        <v>24</v>
      </c>
      <c r="B11" s="2">
        <v>44298</v>
      </c>
      <c r="C11" s="2">
        <v>44883</v>
      </c>
      <c r="D11" t="s">
        <v>350</v>
      </c>
      <c r="E11" t="s">
        <v>358</v>
      </c>
      <c r="F11" t="s">
        <v>361</v>
      </c>
      <c r="G11" s="1" t="s">
        <v>368</v>
      </c>
      <c r="H11" s="1" t="s">
        <v>377</v>
      </c>
      <c r="I11" s="1" t="s">
        <v>381</v>
      </c>
      <c r="J11" t="s">
        <v>388</v>
      </c>
      <c r="K11" t="str">
        <f ca="1">TRIM(Table1_2[[#This Row],[Sub-Category]])</f>
        <v>Accessories</v>
      </c>
      <c r="L11" s="5">
        <v>1238.0899999999999</v>
      </c>
      <c r="M11">
        <v>8</v>
      </c>
      <c r="N11" s="17">
        <v>0.32</v>
      </c>
      <c r="O11" s="5">
        <v>310</v>
      </c>
      <c r="P11" s="8">
        <f>IF(Table1_2[[#This Row],[Sales]]=0, 0,Table1_2[[#This Row],[Profit]]/Table1_2[[#This Row],[Sales]])</f>
        <v>0.25038567470862377</v>
      </c>
      <c r="Q11" s="7">
        <f>Table1_2[[#This Row],[Sales]]/Table1_2[[#This Row],[Quantity]]</f>
        <v>154.76124999999999</v>
      </c>
      <c r="R11" t="str">
        <f>IF(Table1_2[[#This Row],[Profit]]&gt;0, "YES", "NO")</f>
        <v>YES</v>
      </c>
      <c r="S11" t="str">
        <f>TEXT(Table1_2[[#This Row],[Order Date]], "MMM")</f>
        <v>Apr</v>
      </c>
      <c r="T11" t="str">
        <f>TEXT(Table1_2[[#This Row],[Ship Date]],"YYYY")</f>
        <v>2022</v>
      </c>
      <c r="U11" s="1">
        <f>MONTH(1&amp;Table1_2[[#This Row],[Month]])</f>
        <v>4</v>
      </c>
    </row>
    <row r="12" spans="1:21" x14ac:dyDescent="0.3">
      <c r="A12" t="s">
        <v>25</v>
      </c>
      <c r="B12" s="2">
        <v>44624</v>
      </c>
      <c r="C12" s="2">
        <v>44742</v>
      </c>
      <c r="D12" t="s">
        <v>349</v>
      </c>
      <c r="E12" t="s">
        <v>359</v>
      </c>
      <c r="F12" t="s">
        <v>361</v>
      </c>
      <c r="G12" s="1" t="s">
        <v>415</v>
      </c>
      <c r="H12" s="1" t="s">
        <v>375</v>
      </c>
      <c r="I12" s="1" t="s">
        <v>382</v>
      </c>
      <c r="J12" t="s">
        <v>372</v>
      </c>
      <c r="K12" t="str">
        <f ca="1">TRIM(Table1_2[[#This Row],[Sub-Category]])</f>
        <v>Accessories</v>
      </c>
      <c r="L12" s="5">
        <v>1739.08</v>
      </c>
      <c r="M12">
        <v>1</v>
      </c>
      <c r="N12" s="17">
        <v>0.6</v>
      </c>
      <c r="O12" s="5">
        <v>235</v>
      </c>
      <c r="P12" s="8">
        <f>IF(Table1_2[[#This Row],[Sales]]=0, 0,Table1_2[[#This Row],[Profit]]/Table1_2[[#This Row],[Sales]])</f>
        <v>0.13512891873864344</v>
      </c>
      <c r="Q12" s="7">
        <f>Table1_2[[#This Row],[Sales]]/Table1_2[[#This Row],[Quantity]]</f>
        <v>1739.08</v>
      </c>
      <c r="R12" t="str">
        <f>IF(Table1_2[[#This Row],[Profit]]&gt;0, "YES", "NO")</f>
        <v>YES</v>
      </c>
      <c r="S12" t="str">
        <f>TEXT(Table1_2[[#This Row],[Order Date]], "MMM")</f>
        <v>Mar</v>
      </c>
      <c r="T12" t="str">
        <f>TEXT(Table1_2[[#This Row],[Ship Date]],"YYYY")</f>
        <v>2022</v>
      </c>
      <c r="U12" s="1">
        <f>MONTH(1&amp;Table1_2[[#This Row],[Month]])</f>
        <v>3</v>
      </c>
    </row>
    <row r="13" spans="1:21" x14ac:dyDescent="0.3">
      <c r="A13" t="s">
        <v>26</v>
      </c>
      <c r="B13" s="2">
        <v>44849</v>
      </c>
      <c r="C13" s="2">
        <v>44221</v>
      </c>
      <c r="D13" t="s">
        <v>349</v>
      </c>
      <c r="E13" t="s">
        <v>360</v>
      </c>
      <c r="F13" t="s">
        <v>361</v>
      </c>
      <c r="G13" s="1" t="s">
        <v>369</v>
      </c>
      <c r="H13" s="1" t="s">
        <v>375</v>
      </c>
      <c r="I13" s="1" t="s">
        <v>381</v>
      </c>
      <c r="J13" t="s">
        <v>372</v>
      </c>
      <c r="K13" t="str">
        <f ca="1">TRIM(Table1_2[[#This Row],[Sub-Category]])</f>
        <v>Paper</v>
      </c>
      <c r="L13" s="5">
        <v>230.5</v>
      </c>
      <c r="M13">
        <v>7</v>
      </c>
      <c r="N13" s="17">
        <v>0.57999999999999996</v>
      </c>
      <c r="O13" s="5">
        <v>483.05</v>
      </c>
      <c r="P13" s="8">
        <f>IF(Table1_2[[#This Row],[Sales]]=0, 0,Table1_2[[#This Row],[Profit]]/Table1_2[[#This Row],[Sales]])</f>
        <v>2.0956616052060739</v>
      </c>
      <c r="Q13" s="7">
        <f>Table1_2[[#This Row],[Sales]]/Table1_2[[#This Row],[Quantity]]</f>
        <v>32.928571428571431</v>
      </c>
      <c r="R13" t="str">
        <f>IF(Table1_2[[#This Row],[Profit]]&gt;0, "YES", "NO")</f>
        <v>YES</v>
      </c>
      <c r="S13" t="str">
        <f>TEXT(Table1_2[[#This Row],[Order Date]], "MMM")</f>
        <v>Oct</v>
      </c>
      <c r="T13" t="str">
        <f>TEXT(Table1_2[[#This Row],[Ship Date]],"YYYY")</f>
        <v>2021</v>
      </c>
      <c r="U13" s="1">
        <f>MONTH(1&amp;Table1_2[[#This Row],[Month]])</f>
        <v>10</v>
      </c>
    </row>
    <row r="14" spans="1:21" x14ac:dyDescent="0.3">
      <c r="A14" t="s">
        <v>27</v>
      </c>
      <c r="B14" s="2">
        <v>44515</v>
      </c>
      <c r="C14" s="2">
        <v>44737</v>
      </c>
      <c r="D14" t="s">
        <v>352</v>
      </c>
      <c r="E14" t="s">
        <v>357</v>
      </c>
      <c r="F14" t="s">
        <v>363</v>
      </c>
      <c r="G14" s="1" t="s">
        <v>367</v>
      </c>
      <c r="H14" s="1" t="s">
        <v>376</v>
      </c>
      <c r="I14" s="1" t="s">
        <v>382</v>
      </c>
      <c r="J14" t="s">
        <v>386</v>
      </c>
      <c r="K14" t="str">
        <f ca="1">TRIM(Table1_2[[#This Row],[Sub-Category]])</f>
        <v>Phones</v>
      </c>
      <c r="L14" s="5">
        <v>401.38</v>
      </c>
      <c r="M14">
        <v>3</v>
      </c>
      <c r="N14" s="17">
        <v>0.13</v>
      </c>
      <c r="O14" s="5">
        <v>-62.8</v>
      </c>
      <c r="P14" s="8">
        <f>IF(Table1_2[[#This Row],[Sales]]=0, 0,Table1_2[[#This Row],[Profit]]/Table1_2[[#This Row],[Sales]])</f>
        <v>-0.15646021226767651</v>
      </c>
      <c r="Q14" s="7">
        <f>Table1_2[[#This Row],[Sales]]/Table1_2[[#This Row],[Quantity]]</f>
        <v>133.79333333333332</v>
      </c>
      <c r="R14" t="str">
        <f>IF(Table1_2[[#This Row],[Profit]]&gt;0, "YES", "NO")</f>
        <v>NO</v>
      </c>
      <c r="S14" t="str">
        <f>TEXT(Table1_2[[#This Row],[Order Date]], "MMM")</f>
        <v>Nov</v>
      </c>
      <c r="T14" t="str">
        <f>TEXT(Table1_2[[#This Row],[Ship Date]],"YYYY")</f>
        <v>2022</v>
      </c>
      <c r="U14" s="1">
        <f>MONTH(1&amp;Table1_2[[#This Row],[Month]])</f>
        <v>11</v>
      </c>
    </row>
    <row r="15" spans="1:21" x14ac:dyDescent="0.3">
      <c r="A15" t="s">
        <v>28</v>
      </c>
      <c r="B15" s="2">
        <v>45152</v>
      </c>
      <c r="C15" s="2">
        <v>44598</v>
      </c>
      <c r="D15" t="s">
        <v>349</v>
      </c>
      <c r="E15" t="s">
        <v>359</v>
      </c>
      <c r="F15" t="s">
        <v>362</v>
      </c>
      <c r="G15" s="1" t="s">
        <v>366</v>
      </c>
      <c r="H15" s="1" t="s">
        <v>415</v>
      </c>
      <c r="I15" s="1" t="s">
        <v>384</v>
      </c>
      <c r="J15" t="s">
        <v>386</v>
      </c>
      <c r="K15" t="str">
        <f ca="1">TRIM(Table1_2[[#This Row],[Sub-Category]])</f>
        <v>Chairs</v>
      </c>
      <c r="L15" s="5">
        <v>1064</v>
      </c>
      <c r="M15">
        <v>9</v>
      </c>
      <c r="N15" s="17">
        <v>0.45</v>
      </c>
      <c r="O15" s="5">
        <v>235.69</v>
      </c>
      <c r="P15" s="8">
        <f>IF(Table1_2[[#This Row],[Sales]]=0, 0,Table1_2[[#This Row],[Profit]]/Table1_2[[#This Row],[Sales]])</f>
        <v>0.22151315789473683</v>
      </c>
      <c r="Q15" s="7">
        <f>Table1_2[[#This Row],[Sales]]/Table1_2[[#This Row],[Quantity]]</f>
        <v>118.22222222222223</v>
      </c>
      <c r="R15" t="str">
        <f>IF(Table1_2[[#This Row],[Profit]]&gt;0, "YES", "NO")</f>
        <v>YES</v>
      </c>
      <c r="S15" t="str">
        <f>TEXT(Table1_2[[#This Row],[Order Date]], "MMM")</f>
        <v>Aug</v>
      </c>
      <c r="T15" t="str">
        <f>TEXT(Table1_2[[#This Row],[Ship Date]],"YYYY")</f>
        <v>2022</v>
      </c>
      <c r="U15" s="1">
        <f>MONTH(1&amp;Table1_2[[#This Row],[Month]])</f>
        <v>8</v>
      </c>
    </row>
    <row r="16" spans="1:21" x14ac:dyDescent="0.3">
      <c r="A16" t="s">
        <v>29</v>
      </c>
      <c r="B16" s="2">
        <v>44976</v>
      </c>
      <c r="C16" s="2">
        <v>44898</v>
      </c>
      <c r="D16" t="s">
        <v>349</v>
      </c>
      <c r="E16" t="s">
        <v>357</v>
      </c>
      <c r="F16" t="s">
        <v>364</v>
      </c>
      <c r="G16" s="1" t="s">
        <v>369</v>
      </c>
      <c r="H16" s="1" t="s">
        <v>414</v>
      </c>
      <c r="I16" s="1" t="s">
        <v>372</v>
      </c>
      <c r="J16" t="s">
        <v>388</v>
      </c>
      <c r="K16" t="str">
        <f ca="1">TRIM(Table1_2[[#This Row],[Sub-Category]])</f>
        <v>Phones</v>
      </c>
      <c r="L16" s="5">
        <v>734.58</v>
      </c>
      <c r="M16">
        <v>5</v>
      </c>
      <c r="N16" s="17">
        <v>0.21</v>
      </c>
      <c r="O16" s="5">
        <v>692</v>
      </c>
      <c r="P16" s="8">
        <f>IF(Table1_2[[#This Row],[Sales]]=0, 0,Table1_2[[#This Row],[Profit]]/Table1_2[[#This Row],[Sales]])</f>
        <v>0.94203490429905523</v>
      </c>
      <c r="Q16" s="7">
        <f>Table1_2[[#This Row],[Sales]]/Table1_2[[#This Row],[Quantity]]</f>
        <v>146.916</v>
      </c>
      <c r="R16" t="str">
        <f>IF(Table1_2[[#This Row],[Profit]]&gt;0, "YES", "NO")</f>
        <v>YES</v>
      </c>
      <c r="S16" t="str">
        <f>TEXT(Table1_2[[#This Row],[Order Date]], "MMM")</f>
        <v>Feb</v>
      </c>
      <c r="T16" t="str">
        <f>TEXT(Table1_2[[#This Row],[Ship Date]],"YYYY")</f>
        <v>2022</v>
      </c>
      <c r="U16" s="1">
        <f>MONTH(1&amp;Table1_2[[#This Row],[Month]])</f>
        <v>2</v>
      </c>
    </row>
    <row r="17" spans="1:21" x14ac:dyDescent="0.3">
      <c r="A17" t="s">
        <v>30</v>
      </c>
      <c r="B17" s="2">
        <v>44709</v>
      </c>
      <c r="C17" s="2">
        <v>45073</v>
      </c>
      <c r="D17" t="s">
        <v>350</v>
      </c>
      <c r="E17" t="s">
        <v>356</v>
      </c>
      <c r="F17" t="s">
        <v>363</v>
      </c>
      <c r="G17" s="1" t="s">
        <v>365</v>
      </c>
      <c r="H17" s="1" t="s">
        <v>376</v>
      </c>
      <c r="I17" s="1" t="s">
        <v>381</v>
      </c>
      <c r="J17" t="s">
        <v>387</v>
      </c>
      <c r="K17" t="str">
        <f ca="1">TRIM(Table1_2[[#This Row],[Sub-Category]])</f>
        <v>Chairs</v>
      </c>
      <c r="L17" s="5">
        <v>970.25</v>
      </c>
      <c r="M17">
        <v>3</v>
      </c>
      <c r="N17" s="17">
        <v>0.1</v>
      </c>
      <c r="O17" s="5">
        <v>-163.94</v>
      </c>
      <c r="P17" s="8">
        <f>IF(Table1_2[[#This Row],[Sales]]=0, 0,Table1_2[[#This Row],[Profit]]/Table1_2[[#This Row],[Sales]])</f>
        <v>-0.16896676114403503</v>
      </c>
      <c r="Q17" s="7">
        <f>Table1_2[[#This Row],[Sales]]/Table1_2[[#This Row],[Quantity]]</f>
        <v>323.41666666666669</v>
      </c>
      <c r="R17" t="str">
        <f>IF(Table1_2[[#This Row],[Profit]]&gt;0, "YES", "NO")</f>
        <v>NO</v>
      </c>
      <c r="S17" t="str">
        <f>TEXT(Table1_2[[#This Row],[Order Date]], "MMM")</f>
        <v>May</v>
      </c>
      <c r="T17" t="str">
        <f>TEXT(Table1_2[[#This Row],[Ship Date]],"YYYY")</f>
        <v>2023</v>
      </c>
      <c r="U17" s="1">
        <f>MONTH(1&amp;Table1_2[[#This Row],[Month]])</f>
        <v>5</v>
      </c>
    </row>
    <row r="18" spans="1:21" x14ac:dyDescent="0.3">
      <c r="A18" t="s">
        <v>31</v>
      </c>
      <c r="B18" s="2">
        <v>45131</v>
      </c>
      <c r="C18" s="2">
        <v>45160</v>
      </c>
      <c r="D18" t="s">
        <v>350</v>
      </c>
      <c r="E18" t="s">
        <v>356</v>
      </c>
      <c r="F18" t="s">
        <v>361</v>
      </c>
      <c r="G18" s="1" t="s">
        <v>369</v>
      </c>
      <c r="H18" s="1" t="s">
        <v>376</v>
      </c>
      <c r="I18" s="1" t="s">
        <v>372</v>
      </c>
      <c r="J18" t="s">
        <v>386</v>
      </c>
      <c r="K18" t="str">
        <f ca="1">TRIM(Table1_2[[#This Row],[Sub-Category]])</f>
        <v>Phones</v>
      </c>
      <c r="L18" s="5">
        <v>1849.01</v>
      </c>
      <c r="M18">
        <v>3</v>
      </c>
      <c r="N18" s="17">
        <v>0.4</v>
      </c>
      <c r="O18" s="5">
        <v>257.33999999999997</v>
      </c>
      <c r="P18" s="8">
        <f>IF(Table1_2[[#This Row],[Sales]]=0, 0,Table1_2[[#This Row],[Profit]]/Table1_2[[#This Row],[Sales]])</f>
        <v>0.13917718130242668</v>
      </c>
      <c r="Q18" s="7">
        <f>Table1_2[[#This Row],[Sales]]/Table1_2[[#This Row],[Quantity]]</f>
        <v>616.3366666666667</v>
      </c>
      <c r="R18" t="str">
        <f>IF(Table1_2[[#This Row],[Profit]]&gt;0, "YES", "NO")</f>
        <v>YES</v>
      </c>
      <c r="S18" t="str">
        <f>TEXT(Table1_2[[#This Row],[Order Date]], "MMM")</f>
        <v>Jul</v>
      </c>
      <c r="T18" t="str">
        <f>TEXT(Table1_2[[#This Row],[Ship Date]],"YYYY")</f>
        <v>2023</v>
      </c>
      <c r="U18" s="1">
        <f>MONTH(1&amp;Table1_2[[#This Row],[Month]])</f>
        <v>7</v>
      </c>
    </row>
    <row r="19" spans="1:21" x14ac:dyDescent="0.3">
      <c r="A19" t="s">
        <v>32</v>
      </c>
      <c r="B19" s="2">
        <v>44629</v>
      </c>
      <c r="C19" s="2">
        <v>44808</v>
      </c>
      <c r="D19" t="s">
        <v>349</v>
      </c>
      <c r="E19" t="s">
        <v>355</v>
      </c>
      <c r="F19" t="s">
        <v>364</v>
      </c>
      <c r="G19" s="1" t="s">
        <v>366</v>
      </c>
      <c r="H19" s="1" t="s">
        <v>375</v>
      </c>
      <c r="I19" s="1" t="s">
        <v>383</v>
      </c>
      <c r="J19" t="s">
        <v>386</v>
      </c>
      <c r="K19" t="str">
        <f ca="1">TRIM(Table1_2[[#This Row],[Sub-Category]])</f>
        <v>Accessories</v>
      </c>
      <c r="L19" s="5">
        <v>1094</v>
      </c>
      <c r="M19">
        <v>8</v>
      </c>
      <c r="N19" s="17">
        <v>0.3</v>
      </c>
      <c r="O19" s="5">
        <v>460.53</v>
      </c>
      <c r="P19" s="8">
        <f>IF(Table1_2[[#This Row],[Sales]]=0, 0,Table1_2[[#This Row],[Profit]]/Table1_2[[#This Row],[Sales]])</f>
        <v>0.42095978062157219</v>
      </c>
      <c r="Q19" s="7">
        <f>Table1_2[[#This Row],[Sales]]/Table1_2[[#This Row],[Quantity]]</f>
        <v>136.75</v>
      </c>
      <c r="R19" t="str">
        <f>IF(Table1_2[[#This Row],[Profit]]&gt;0, "YES", "NO")</f>
        <v>YES</v>
      </c>
      <c r="S19" t="str">
        <f>TEXT(Table1_2[[#This Row],[Order Date]], "MMM")</f>
        <v>Mar</v>
      </c>
      <c r="T19" t="str">
        <f>TEXT(Table1_2[[#This Row],[Ship Date]],"YYYY")</f>
        <v>2022</v>
      </c>
      <c r="U19" s="1">
        <f>MONTH(1&amp;Table1_2[[#This Row],[Month]])</f>
        <v>3</v>
      </c>
    </row>
    <row r="20" spans="1:21" x14ac:dyDescent="0.3">
      <c r="A20" t="s">
        <v>33</v>
      </c>
      <c r="B20" s="2">
        <v>44336</v>
      </c>
      <c r="C20" s="2">
        <v>44560</v>
      </c>
      <c r="D20" t="s">
        <v>349</v>
      </c>
      <c r="E20" t="s">
        <v>356</v>
      </c>
      <c r="F20" t="s">
        <v>361</v>
      </c>
      <c r="G20" s="1" t="s">
        <v>368</v>
      </c>
      <c r="H20" s="1" t="s">
        <v>376</v>
      </c>
      <c r="I20" s="1" t="s">
        <v>372</v>
      </c>
      <c r="J20" t="s">
        <v>386</v>
      </c>
      <c r="K20" t="str">
        <f ca="1">TRIM(Table1_2[[#This Row],[Sub-Category]])</f>
        <v>Paper</v>
      </c>
      <c r="L20" s="5">
        <v>836.09</v>
      </c>
      <c r="M20">
        <v>4</v>
      </c>
      <c r="N20" s="17">
        <v>0.32</v>
      </c>
      <c r="O20" s="5">
        <v>687.71</v>
      </c>
      <c r="P20" s="8">
        <f>IF(Table1_2[[#This Row],[Sales]]=0, 0,Table1_2[[#This Row],[Profit]]/Table1_2[[#This Row],[Sales]])</f>
        <v>0.82253106722960445</v>
      </c>
      <c r="Q20" s="7">
        <f>Table1_2[[#This Row],[Sales]]/Table1_2[[#This Row],[Quantity]]</f>
        <v>209.02250000000001</v>
      </c>
      <c r="R20" t="str">
        <f>IF(Table1_2[[#This Row],[Profit]]&gt;0, "YES", "NO")</f>
        <v>YES</v>
      </c>
      <c r="S20" t="str">
        <f>TEXT(Table1_2[[#This Row],[Order Date]], "MMM")</f>
        <v>May</v>
      </c>
      <c r="T20" t="str">
        <f>TEXT(Table1_2[[#This Row],[Ship Date]],"YYYY")</f>
        <v>2021</v>
      </c>
      <c r="U20" s="1">
        <f>MONTH(1&amp;Table1_2[[#This Row],[Month]])</f>
        <v>5</v>
      </c>
    </row>
    <row r="21" spans="1:21" x14ac:dyDescent="0.3">
      <c r="A21" t="s">
        <v>34</v>
      </c>
      <c r="B21" s="2">
        <v>44232</v>
      </c>
      <c r="C21" s="2">
        <v>44641</v>
      </c>
      <c r="D21" t="s">
        <v>349</v>
      </c>
      <c r="E21" t="s">
        <v>355</v>
      </c>
      <c r="F21" t="s">
        <v>364</v>
      </c>
      <c r="G21" s="1" t="s">
        <v>370</v>
      </c>
      <c r="H21" s="1" t="s">
        <v>415</v>
      </c>
      <c r="I21" s="1" t="s">
        <v>381</v>
      </c>
      <c r="J21" t="s">
        <v>388</v>
      </c>
      <c r="K21" t="str">
        <f ca="1">TRIM(Table1_2[[#This Row],[Sub-Category]])</f>
        <v>Phones</v>
      </c>
      <c r="L21" s="5">
        <v>1979</v>
      </c>
      <c r="M21">
        <v>4</v>
      </c>
      <c r="N21" s="17">
        <v>0.5</v>
      </c>
      <c r="O21" s="5">
        <v>393.79</v>
      </c>
      <c r="P21" s="8">
        <f>IF(Table1_2[[#This Row],[Sales]]=0, 0,Table1_2[[#This Row],[Profit]]/Table1_2[[#This Row],[Sales]])</f>
        <v>0.19898433552299141</v>
      </c>
      <c r="Q21" s="7">
        <f>Table1_2[[#This Row],[Sales]]/Table1_2[[#This Row],[Quantity]]</f>
        <v>494.75</v>
      </c>
      <c r="R21" t="str">
        <f>IF(Table1_2[[#This Row],[Profit]]&gt;0, "YES", "NO")</f>
        <v>YES</v>
      </c>
      <c r="S21" t="str">
        <f>TEXT(Table1_2[[#This Row],[Order Date]], "MMM")</f>
        <v>Feb</v>
      </c>
      <c r="T21" t="str">
        <f>TEXT(Table1_2[[#This Row],[Ship Date]],"YYYY")</f>
        <v>2022</v>
      </c>
      <c r="U21" s="1">
        <f>MONTH(1&amp;Table1_2[[#This Row],[Month]])</f>
        <v>2</v>
      </c>
    </row>
    <row r="22" spans="1:21" x14ac:dyDescent="0.3">
      <c r="A22" t="s">
        <v>35</v>
      </c>
      <c r="B22" s="2">
        <v>45135</v>
      </c>
      <c r="C22" s="2">
        <v>44374</v>
      </c>
      <c r="D22" t="s">
        <v>349</v>
      </c>
      <c r="E22" t="s">
        <v>355</v>
      </c>
      <c r="F22" t="s">
        <v>363</v>
      </c>
      <c r="G22" s="1" t="s">
        <v>371</v>
      </c>
      <c r="H22" s="1" t="s">
        <v>375</v>
      </c>
      <c r="I22" s="1" t="s">
        <v>385</v>
      </c>
      <c r="J22" t="s">
        <v>388</v>
      </c>
      <c r="K22" t="str">
        <f ca="1">TRIM(Table1_2[[#This Row],[Sub-Category]])</f>
        <v>Binders</v>
      </c>
      <c r="L22" s="5">
        <v>139.78</v>
      </c>
      <c r="M22">
        <v>7</v>
      </c>
      <c r="N22" s="17">
        <v>0.2</v>
      </c>
      <c r="O22" s="5">
        <v>624.48</v>
      </c>
      <c r="P22" s="8">
        <f>IF(Table1_2[[#This Row],[Sales]]=0, 0,Table1_2[[#This Row],[Profit]]/Table1_2[[#This Row],[Sales]])</f>
        <v>4.467591930175991</v>
      </c>
      <c r="Q22" s="7">
        <f>Table1_2[[#This Row],[Sales]]/Table1_2[[#This Row],[Quantity]]</f>
        <v>19.96857142857143</v>
      </c>
      <c r="R22" t="str">
        <f>IF(Table1_2[[#This Row],[Profit]]&gt;0, "YES", "NO")</f>
        <v>YES</v>
      </c>
      <c r="S22" t="str">
        <f>TEXT(Table1_2[[#This Row],[Order Date]], "MMM")</f>
        <v>Jul</v>
      </c>
      <c r="T22" t="str">
        <f>TEXT(Table1_2[[#This Row],[Ship Date]],"YYYY")</f>
        <v>2021</v>
      </c>
      <c r="U22" s="1">
        <f>MONTH(1&amp;Table1_2[[#This Row],[Month]])</f>
        <v>7</v>
      </c>
    </row>
    <row r="23" spans="1:21" x14ac:dyDescent="0.3">
      <c r="A23" t="s">
        <v>36</v>
      </c>
      <c r="B23" s="2">
        <v>44247</v>
      </c>
      <c r="C23" s="2">
        <v>45110</v>
      </c>
      <c r="D23" t="s">
        <v>350</v>
      </c>
      <c r="E23" t="s">
        <v>358</v>
      </c>
      <c r="F23" t="s">
        <v>364</v>
      </c>
      <c r="G23" s="1" t="s">
        <v>368</v>
      </c>
      <c r="H23" s="1" t="s">
        <v>376</v>
      </c>
      <c r="I23" s="1" t="s">
        <v>381</v>
      </c>
      <c r="J23" t="s">
        <v>372</v>
      </c>
      <c r="K23" t="str">
        <f ca="1">TRIM(Table1_2[[#This Row],[Sub-Category]])</f>
        <v>Phones</v>
      </c>
      <c r="L23" s="5">
        <v>159.25</v>
      </c>
      <c r="M23">
        <v>2</v>
      </c>
      <c r="N23" s="17">
        <v>0.27</v>
      </c>
      <c r="O23" s="5">
        <v>34.1</v>
      </c>
      <c r="P23" s="8">
        <f>IF(Table1_2[[#This Row],[Sales]]=0, 0,Table1_2[[#This Row],[Profit]]/Table1_2[[#This Row],[Sales]])</f>
        <v>0.21412872841444272</v>
      </c>
      <c r="Q23" s="7">
        <f>Table1_2[[#This Row],[Sales]]/Table1_2[[#This Row],[Quantity]]</f>
        <v>79.625</v>
      </c>
      <c r="R23" t="str">
        <f>IF(Table1_2[[#This Row],[Profit]]&gt;0, "YES", "NO")</f>
        <v>YES</v>
      </c>
      <c r="S23" t="str">
        <f>TEXT(Table1_2[[#This Row],[Order Date]], "MMM")</f>
        <v>Feb</v>
      </c>
      <c r="T23" t="str">
        <f>TEXT(Table1_2[[#This Row],[Ship Date]],"YYYY")</f>
        <v>2023</v>
      </c>
      <c r="U23" s="1">
        <f>MONTH(1&amp;Table1_2[[#This Row],[Month]])</f>
        <v>2</v>
      </c>
    </row>
    <row r="24" spans="1:21" x14ac:dyDescent="0.3">
      <c r="A24" t="s">
        <v>37</v>
      </c>
      <c r="B24" s="2">
        <v>45048</v>
      </c>
      <c r="C24" s="2">
        <v>45152</v>
      </c>
      <c r="D24" t="s">
        <v>351</v>
      </c>
      <c r="E24" t="s">
        <v>353</v>
      </c>
      <c r="F24" t="s">
        <v>364</v>
      </c>
      <c r="G24" s="1" t="s">
        <v>369</v>
      </c>
      <c r="H24" s="1" t="s">
        <v>380</v>
      </c>
      <c r="I24" s="1" t="s">
        <v>383</v>
      </c>
      <c r="J24" t="s">
        <v>388</v>
      </c>
      <c r="K24" t="str">
        <f ca="1">TRIM(Table1_2[[#This Row],[Sub-Category]])</f>
        <v>Paper</v>
      </c>
      <c r="L24" s="5">
        <v>867</v>
      </c>
      <c r="M24">
        <v>1</v>
      </c>
      <c r="N24" s="17">
        <v>7.0000000000000007E-2</v>
      </c>
      <c r="O24" s="5">
        <v>423.01</v>
      </c>
      <c r="P24" s="8">
        <f>IF(Table1_2[[#This Row],[Sales]]=0, 0,Table1_2[[#This Row],[Profit]]/Table1_2[[#This Row],[Sales]])</f>
        <v>0.48790080738177621</v>
      </c>
      <c r="Q24" s="7">
        <f>Table1_2[[#This Row],[Sales]]/Table1_2[[#This Row],[Quantity]]</f>
        <v>867</v>
      </c>
      <c r="R24" t="str">
        <f>IF(Table1_2[[#This Row],[Profit]]&gt;0, "YES", "NO")</f>
        <v>YES</v>
      </c>
      <c r="S24" t="str">
        <f>TEXT(Table1_2[[#This Row],[Order Date]], "MMM")</f>
        <v>May</v>
      </c>
      <c r="T24" t="str">
        <f>TEXT(Table1_2[[#This Row],[Ship Date]],"YYYY")</f>
        <v>2023</v>
      </c>
      <c r="U24" s="1">
        <f>MONTH(1&amp;Table1_2[[#This Row],[Month]])</f>
        <v>5</v>
      </c>
    </row>
    <row r="25" spans="1:21" x14ac:dyDescent="0.3">
      <c r="A25" t="s">
        <v>38</v>
      </c>
      <c r="B25" s="2">
        <v>44308</v>
      </c>
      <c r="C25" s="2">
        <v>45121</v>
      </c>
      <c r="D25" t="s">
        <v>351</v>
      </c>
      <c r="E25" t="s">
        <v>354</v>
      </c>
      <c r="F25" t="s">
        <v>362</v>
      </c>
      <c r="G25" s="1" t="s">
        <v>368</v>
      </c>
      <c r="H25" s="1" t="s">
        <v>415</v>
      </c>
      <c r="I25" s="1" t="s">
        <v>384</v>
      </c>
      <c r="J25" t="s">
        <v>387</v>
      </c>
      <c r="K25" t="str">
        <f ca="1">TRIM(Table1_2[[#This Row],[Sub-Category]])</f>
        <v>Accessories</v>
      </c>
      <c r="L25" s="5">
        <v>173.02</v>
      </c>
      <c r="M25">
        <v>6</v>
      </c>
      <c r="N25" s="17">
        <v>0.34</v>
      </c>
      <c r="O25" s="5">
        <v>779</v>
      </c>
      <c r="P25" s="8">
        <f>IF(Table1_2[[#This Row],[Sales]]=0, 0,Table1_2[[#This Row],[Profit]]/Table1_2[[#This Row],[Sales]])</f>
        <v>4.5023696682464456</v>
      </c>
      <c r="Q25" s="7">
        <f>Table1_2[[#This Row],[Sales]]/Table1_2[[#This Row],[Quantity]]</f>
        <v>28.83666666666667</v>
      </c>
      <c r="R25" t="str">
        <f>IF(Table1_2[[#This Row],[Profit]]&gt;0, "YES", "NO")</f>
        <v>YES</v>
      </c>
      <c r="S25" t="str">
        <f>TEXT(Table1_2[[#This Row],[Order Date]], "MMM")</f>
        <v>Apr</v>
      </c>
      <c r="T25" t="str">
        <f>TEXT(Table1_2[[#This Row],[Ship Date]],"YYYY")</f>
        <v>2023</v>
      </c>
      <c r="U25" s="1">
        <f>MONTH(1&amp;Table1_2[[#This Row],[Month]])</f>
        <v>4</v>
      </c>
    </row>
    <row r="26" spans="1:21" x14ac:dyDescent="0.3">
      <c r="A26" t="s">
        <v>39</v>
      </c>
      <c r="B26" s="2">
        <v>44832</v>
      </c>
      <c r="C26" s="2">
        <v>44514</v>
      </c>
      <c r="D26" t="s">
        <v>352</v>
      </c>
      <c r="E26" t="s">
        <v>357</v>
      </c>
      <c r="F26" t="s">
        <v>363</v>
      </c>
      <c r="G26" s="1" t="s">
        <v>369</v>
      </c>
      <c r="H26" s="1" t="s">
        <v>374</v>
      </c>
      <c r="I26" s="1" t="s">
        <v>372</v>
      </c>
      <c r="J26" t="s">
        <v>387</v>
      </c>
      <c r="K26" t="str">
        <f ca="1">TRIM(Table1_2[[#This Row],[Sub-Category]])</f>
        <v>Phones</v>
      </c>
      <c r="L26" s="5">
        <v>558.57000000000005</v>
      </c>
      <c r="M26">
        <v>4</v>
      </c>
      <c r="N26" s="17">
        <v>0.09</v>
      </c>
      <c r="O26" s="5">
        <v>-78</v>
      </c>
      <c r="P26" s="8">
        <f>IF(Table1_2[[#This Row],[Sales]]=0, 0,Table1_2[[#This Row],[Profit]]/Table1_2[[#This Row],[Sales]])</f>
        <v>-0.13964230087544979</v>
      </c>
      <c r="Q26" s="7">
        <f>Table1_2[[#This Row],[Sales]]/Table1_2[[#This Row],[Quantity]]</f>
        <v>139.64250000000001</v>
      </c>
      <c r="R26" t="str">
        <f>IF(Table1_2[[#This Row],[Profit]]&gt;0, "YES", "NO")</f>
        <v>NO</v>
      </c>
      <c r="S26" t="str">
        <f>TEXT(Table1_2[[#This Row],[Order Date]], "MMM")</f>
        <v>Sep</v>
      </c>
      <c r="T26" t="str">
        <f>TEXT(Table1_2[[#This Row],[Ship Date]],"YYYY")</f>
        <v>2021</v>
      </c>
      <c r="U26" s="1">
        <f>MONTH(1&amp;Table1_2[[#This Row],[Month]])</f>
        <v>9</v>
      </c>
    </row>
    <row r="27" spans="1:21" x14ac:dyDescent="0.3">
      <c r="A27" t="s">
        <v>40</v>
      </c>
      <c r="B27" s="2">
        <v>44581</v>
      </c>
      <c r="C27" s="2">
        <v>45041</v>
      </c>
      <c r="D27" t="s">
        <v>351</v>
      </c>
      <c r="E27" t="s">
        <v>360</v>
      </c>
      <c r="F27" t="s">
        <v>361</v>
      </c>
      <c r="G27" s="1" t="s">
        <v>373</v>
      </c>
      <c r="H27" s="1" t="s">
        <v>375</v>
      </c>
      <c r="I27" s="1" t="s">
        <v>382</v>
      </c>
      <c r="J27" t="s">
        <v>372</v>
      </c>
      <c r="K27" t="str">
        <f ca="1">TRIM(Table1_2[[#This Row],[Sub-Category]])</f>
        <v>NA</v>
      </c>
      <c r="L27" s="5">
        <v>1314.43</v>
      </c>
      <c r="M27">
        <v>2</v>
      </c>
      <c r="N27" s="17">
        <v>0.04</v>
      </c>
      <c r="O27" s="5">
        <v>258.49</v>
      </c>
      <c r="P27" s="8">
        <f>IF(Table1_2[[#This Row],[Sales]]=0, 0,Table1_2[[#This Row],[Profit]]/Table1_2[[#This Row],[Sales]])</f>
        <v>0.19665558454995702</v>
      </c>
      <c r="Q27" s="7">
        <f>Table1_2[[#This Row],[Sales]]/Table1_2[[#This Row],[Quantity]]</f>
        <v>657.21500000000003</v>
      </c>
      <c r="R27" t="str">
        <f>IF(Table1_2[[#This Row],[Profit]]&gt;0, "YES", "NO")</f>
        <v>YES</v>
      </c>
      <c r="S27" t="str">
        <f>TEXT(Table1_2[[#This Row],[Order Date]], "MMM")</f>
        <v>Jan</v>
      </c>
      <c r="T27" t="str">
        <f>TEXT(Table1_2[[#This Row],[Ship Date]],"YYYY")</f>
        <v>2023</v>
      </c>
      <c r="U27" s="1">
        <f>MONTH(1&amp;Table1_2[[#This Row],[Month]])</f>
        <v>1</v>
      </c>
    </row>
    <row r="28" spans="1:21" x14ac:dyDescent="0.3">
      <c r="A28" t="s">
        <v>41</v>
      </c>
      <c r="B28" s="2">
        <v>44974</v>
      </c>
      <c r="C28" s="2">
        <v>45134</v>
      </c>
      <c r="D28" t="s">
        <v>349</v>
      </c>
      <c r="E28" t="s">
        <v>358</v>
      </c>
      <c r="F28" t="s">
        <v>364</v>
      </c>
      <c r="G28" s="1" t="s">
        <v>365</v>
      </c>
      <c r="H28" s="1" t="s">
        <v>378</v>
      </c>
      <c r="I28" s="1" t="s">
        <v>383</v>
      </c>
      <c r="J28" t="s">
        <v>387</v>
      </c>
      <c r="K28" t="str">
        <f ca="1">TRIM(Table1_2[[#This Row],[Sub-Category]])</f>
        <v>Paper</v>
      </c>
      <c r="L28" s="5">
        <v>624</v>
      </c>
      <c r="M28">
        <v>2</v>
      </c>
      <c r="N28" s="17">
        <v>0.3</v>
      </c>
      <c r="O28" s="5">
        <v>294</v>
      </c>
      <c r="P28" s="8">
        <f>IF(Table1_2[[#This Row],[Sales]]=0, 0,Table1_2[[#This Row],[Profit]]/Table1_2[[#This Row],[Sales]])</f>
        <v>0.47115384615384615</v>
      </c>
      <c r="Q28" s="7">
        <f>Table1_2[[#This Row],[Sales]]/Table1_2[[#This Row],[Quantity]]</f>
        <v>312</v>
      </c>
      <c r="R28" t="str">
        <f>IF(Table1_2[[#This Row],[Profit]]&gt;0, "YES", "NO")</f>
        <v>YES</v>
      </c>
      <c r="S28" t="str">
        <f>TEXT(Table1_2[[#This Row],[Order Date]], "MMM")</f>
        <v>Feb</v>
      </c>
      <c r="T28" t="str">
        <f>TEXT(Table1_2[[#This Row],[Ship Date]],"YYYY")</f>
        <v>2023</v>
      </c>
      <c r="U28" s="1">
        <f>MONTH(1&amp;Table1_2[[#This Row],[Month]])</f>
        <v>2</v>
      </c>
    </row>
    <row r="29" spans="1:21" x14ac:dyDescent="0.3">
      <c r="A29" t="s">
        <v>42</v>
      </c>
      <c r="B29" s="2">
        <v>44257</v>
      </c>
      <c r="C29" s="2">
        <v>45176</v>
      </c>
      <c r="D29" t="s">
        <v>352</v>
      </c>
      <c r="E29" t="s">
        <v>360</v>
      </c>
      <c r="F29" t="s">
        <v>362</v>
      </c>
      <c r="G29" s="1" t="s">
        <v>368</v>
      </c>
      <c r="H29" s="1" t="s">
        <v>380</v>
      </c>
      <c r="I29" s="1" t="s">
        <v>382</v>
      </c>
      <c r="J29" t="s">
        <v>388</v>
      </c>
      <c r="K29" t="str">
        <f ca="1">TRIM(Table1_2[[#This Row],[Sub-Category]])</f>
        <v>Binders</v>
      </c>
      <c r="L29" s="5">
        <v>1995.32</v>
      </c>
      <c r="M29">
        <v>1</v>
      </c>
      <c r="N29" s="17">
        <v>0.39</v>
      </c>
      <c r="O29" s="5">
        <v>-33.200000000000003</v>
      </c>
      <c r="P29" s="8">
        <f>IF(Table1_2[[#This Row],[Sales]]=0, 0,Table1_2[[#This Row],[Profit]]/Table1_2[[#This Row],[Sales]])</f>
        <v>-1.6638935108153081E-2</v>
      </c>
      <c r="Q29" s="7">
        <f>Table1_2[[#This Row],[Sales]]/Table1_2[[#This Row],[Quantity]]</f>
        <v>1995.32</v>
      </c>
      <c r="R29" t="str">
        <f>IF(Table1_2[[#This Row],[Profit]]&gt;0, "YES", "NO")</f>
        <v>NO</v>
      </c>
      <c r="S29" t="str">
        <f>TEXT(Table1_2[[#This Row],[Order Date]], "MMM")</f>
        <v>Mar</v>
      </c>
      <c r="T29" t="str">
        <f>TEXT(Table1_2[[#This Row],[Ship Date]],"YYYY")</f>
        <v>2023</v>
      </c>
      <c r="U29" s="1">
        <f>MONTH(1&amp;Table1_2[[#This Row],[Month]])</f>
        <v>3</v>
      </c>
    </row>
    <row r="30" spans="1:21" x14ac:dyDescent="0.3">
      <c r="A30" t="s">
        <v>43</v>
      </c>
      <c r="B30" s="2">
        <v>45094</v>
      </c>
      <c r="C30" s="2">
        <v>44218</v>
      </c>
      <c r="D30" t="s">
        <v>352</v>
      </c>
      <c r="E30" t="s">
        <v>356</v>
      </c>
      <c r="F30" t="s">
        <v>364</v>
      </c>
      <c r="G30" s="1" t="s">
        <v>371</v>
      </c>
      <c r="H30" s="1" t="s">
        <v>376</v>
      </c>
      <c r="I30" s="1" t="s">
        <v>384</v>
      </c>
      <c r="J30" t="s">
        <v>386</v>
      </c>
      <c r="K30" t="str">
        <f ca="1">TRIM(Table1_2[[#This Row],[Sub-Category]])</f>
        <v>NA</v>
      </c>
      <c r="L30" s="5">
        <v>1833.44</v>
      </c>
      <c r="M30">
        <v>6</v>
      </c>
      <c r="N30" s="17">
        <v>0.51</v>
      </c>
      <c r="O30" s="5">
        <v>331.58</v>
      </c>
      <c r="P30" s="8">
        <f>IF(Table1_2[[#This Row],[Sales]]=0, 0,Table1_2[[#This Row],[Profit]]/Table1_2[[#This Row],[Sales]])</f>
        <v>0.18085129592460072</v>
      </c>
      <c r="Q30" s="7">
        <f>Table1_2[[#This Row],[Sales]]/Table1_2[[#This Row],[Quantity]]</f>
        <v>305.57333333333332</v>
      </c>
      <c r="R30" t="str">
        <f>IF(Table1_2[[#This Row],[Profit]]&gt;0, "YES", "NO")</f>
        <v>YES</v>
      </c>
      <c r="S30" t="str">
        <f>TEXT(Table1_2[[#This Row],[Order Date]], "MMM")</f>
        <v>Jun</v>
      </c>
      <c r="T30" t="str">
        <f>TEXT(Table1_2[[#This Row],[Ship Date]],"YYYY")</f>
        <v>2021</v>
      </c>
      <c r="U30" s="1">
        <f>MONTH(1&amp;Table1_2[[#This Row],[Month]])</f>
        <v>6</v>
      </c>
    </row>
    <row r="31" spans="1:21" x14ac:dyDescent="0.3">
      <c r="A31" t="s">
        <v>44</v>
      </c>
      <c r="B31" s="2">
        <v>44895</v>
      </c>
      <c r="C31" s="2">
        <v>44942</v>
      </c>
      <c r="D31" t="s">
        <v>349</v>
      </c>
      <c r="E31" t="s">
        <v>354</v>
      </c>
      <c r="F31" t="s">
        <v>362</v>
      </c>
      <c r="G31" s="1" t="s">
        <v>370</v>
      </c>
      <c r="H31" s="1" t="s">
        <v>375</v>
      </c>
      <c r="I31" s="1" t="s">
        <v>372</v>
      </c>
      <c r="J31" t="s">
        <v>388</v>
      </c>
      <c r="K31" t="str">
        <f ca="1">TRIM(Table1_2[[#This Row],[Sub-Category]])</f>
        <v>Phones</v>
      </c>
      <c r="L31" s="5">
        <v>1175</v>
      </c>
      <c r="M31">
        <v>7</v>
      </c>
      <c r="N31" s="17">
        <v>0.47</v>
      </c>
      <c r="O31" s="5">
        <v>405.98</v>
      </c>
      <c r="P31" s="8">
        <f>IF(Table1_2[[#This Row],[Sales]]=0, 0,Table1_2[[#This Row],[Profit]]/Table1_2[[#This Row],[Sales]])</f>
        <v>0.34551489361702131</v>
      </c>
      <c r="Q31" s="7">
        <f>Table1_2[[#This Row],[Sales]]/Table1_2[[#This Row],[Quantity]]</f>
        <v>167.85714285714286</v>
      </c>
      <c r="R31" t="str">
        <f>IF(Table1_2[[#This Row],[Profit]]&gt;0, "YES", "NO")</f>
        <v>YES</v>
      </c>
      <c r="S31" t="str">
        <f>TEXT(Table1_2[[#This Row],[Order Date]], "MMM")</f>
        <v>Nov</v>
      </c>
      <c r="T31" t="str">
        <f>TEXT(Table1_2[[#This Row],[Ship Date]],"YYYY")</f>
        <v>2023</v>
      </c>
      <c r="U31" s="1">
        <f>MONTH(1&amp;Table1_2[[#This Row],[Month]])</f>
        <v>11</v>
      </c>
    </row>
    <row r="32" spans="1:21" x14ac:dyDescent="0.3">
      <c r="A32" t="s">
        <v>45</v>
      </c>
      <c r="B32" s="2">
        <v>44646</v>
      </c>
      <c r="C32" s="2">
        <v>45194</v>
      </c>
      <c r="D32" t="s">
        <v>350</v>
      </c>
      <c r="E32" t="s">
        <v>359</v>
      </c>
      <c r="F32" t="s">
        <v>364</v>
      </c>
      <c r="G32" s="1" t="s">
        <v>415</v>
      </c>
      <c r="H32" s="1" t="s">
        <v>377</v>
      </c>
      <c r="I32" s="1" t="s">
        <v>372</v>
      </c>
      <c r="J32" t="s">
        <v>386</v>
      </c>
      <c r="K32" t="str">
        <f ca="1">TRIM(Table1_2[[#This Row],[Sub-Category]])</f>
        <v>NA</v>
      </c>
      <c r="L32" s="5">
        <v>1934.22</v>
      </c>
      <c r="M32">
        <v>6</v>
      </c>
      <c r="N32" s="17">
        <v>0.51</v>
      </c>
      <c r="O32" s="5">
        <v>-43</v>
      </c>
      <c r="P32" s="8">
        <f>IF(Table1_2[[#This Row],[Sales]]=0, 0,Table1_2[[#This Row],[Profit]]/Table1_2[[#This Row],[Sales]])</f>
        <v>-2.2231183629576781E-2</v>
      </c>
      <c r="Q32" s="7">
        <f>Table1_2[[#This Row],[Sales]]/Table1_2[[#This Row],[Quantity]]</f>
        <v>322.37</v>
      </c>
      <c r="R32" t="str">
        <f>IF(Table1_2[[#This Row],[Profit]]&gt;0, "YES", "NO")</f>
        <v>NO</v>
      </c>
      <c r="S32" t="str">
        <f>TEXT(Table1_2[[#This Row],[Order Date]], "MMM")</f>
        <v>Mar</v>
      </c>
      <c r="T32" t="str">
        <f>TEXT(Table1_2[[#This Row],[Ship Date]],"YYYY")</f>
        <v>2023</v>
      </c>
      <c r="U32" s="1">
        <f>MONTH(1&amp;Table1_2[[#This Row],[Month]])</f>
        <v>3</v>
      </c>
    </row>
    <row r="33" spans="1:21" x14ac:dyDescent="0.3">
      <c r="A33" t="s">
        <v>46</v>
      </c>
      <c r="B33" s="2">
        <v>44404</v>
      </c>
      <c r="C33" s="2">
        <v>45048</v>
      </c>
      <c r="D33" t="s">
        <v>352</v>
      </c>
      <c r="E33" t="s">
        <v>359</v>
      </c>
      <c r="F33" t="s">
        <v>362</v>
      </c>
      <c r="G33" s="1" t="s">
        <v>366</v>
      </c>
      <c r="H33" s="1" t="s">
        <v>376</v>
      </c>
      <c r="I33" s="1" t="s">
        <v>385</v>
      </c>
      <c r="J33" t="s">
        <v>386</v>
      </c>
      <c r="K33" t="str">
        <f ca="1">TRIM(Table1_2[[#This Row],[Sub-Category]])</f>
        <v>Paper</v>
      </c>
      <c r="L33" s="5">
        <v>1737.35</v>
      </c>
      <c r="M33">
        <v>1</v>
      </c>
      <c r="N33" s="17">
        <v>0.46</v>
      </c>
      <c r="O33" s="5">
        <v>-45.28</v>
      </c>
      <c r="P33" s="8">
        <f>IF(Table1_2[[#This Row],[Sales]]=0, 0,Table1_2[[#This Row],[Profit]]/Table1_2[[#This Row],[Sales]])</f>
        <v>-2.6062681670360032E-2</v>
      </c>
      <c r="Q33" s="7">
        <f>Table1_2[[#This Row],[Sales]]/Table1_2[[#This Row],[Quantity]]</f>
        <v>1737.35</v>
      </c>
      <c r="R33" t="str">
        <f>IF(Table1_2[[#This Row],[Profit]]&gt;0, "YES", "NO")</f>
        <v>NO</v>
      </c>
      <c r="S33" t="str">
        <f>TEXT(Table1_2[[#This Row],[Order Date]], "MMM")</f>
        <v>Jul</v>
      </c>
      <c r="T33" t="str">
        <f>TEXT(Table1_2[[#This Row],[Ship Date]],"YYYY")</f>
        <v>2023</v>
      </c>
      <c r="U33" s="1">
        <f>MONTH(1&amp;Table1_2[[#This Row],[Month]])</f>
        <v>7</v>
      </c>
    </row>
    <row r="34" spans="1:21" x14ac:dyDescent="0.3">
      <c r="A34" t="s">
        <v>47</v>
      </c>
      <c r="B34" s="2">
        <v>45174</v>
      </c>
      <c r="C34" s="2">
        <v>44431</v>
      </c>
      <c r="D34" t="s">
        <v>349</v>
      </c>
      <c r="E34" t="s">
        <v>353</v>
      </c>
      <c r="F34" t="s">
        <v>362</v>
      </c>
      <c r="G34" s="1" t="s">
        <v>365</v>
      </c>
      <c r="H34" s="1" t="s">
        <v>379</v>
      </c>
      <c r="I34" s="1" t="s">
        <v>381</v>
      </c>
      <c r="J34" t="s">
        <v>388</v>
      </c>
      <c r="K34" t="str">
        <f ca="1">TRIM(Table1_2[[#This Row],[Sub-Category]])</f>
        <v>Accessories</v>
      </c>
      <c r="L34" s="5">
        <v>644.61</v>
      </c>
      <c r="M34">
        <v>1</v>
      </c>
      <c r="N34" s="17">
        <v>0.42</v>
      </c>
      <c r="O34" s="5">
        <v>656.35</v>
      </c>
      <c r="P34" s="8">
        <f>IF(Table1_2[[#This Row],[Sales]]=0, 0,Table1_2[[#This Row],[Profit]]/Table1_2[[#This Row],[Sales]])</f>
        <v>1.0182125626347713</v>
      </c>
      <c r="Q34" s="7">
        <f>Table1_2[[#This Row],[Sales]]/Table1_2[[#This Row],[Quantity]]</f>
        <v>644.61</v>
      </c>
      <c r="R34" t="str">
        <f>IF(Table1_2[[#This Row],[Profit]]&gt;0, "YES", "NO")</f>
        <v>YES</v>
      </c>
      <c r="S34" t="str">
        <f>TEXT(Table1_2[[#This Row],[Order Date]], "MMM")</f>
        <v>Sep</v>
      </c>
      <c r="T34" t="str">
        <f>TEXT(Table1_2[[#This Row],[Ship Date]],"YYYY")</f>
        <v>2021</v>
      </c>
      <c r="U34" s="1">
        <f>MONTH(1&amp;Table1_2[[#This Row],[Month]])</f>
        <v>9</v>
      </c>
    </row>
    <row r="35" spans="1:21" x14ac:dyDescent="0.3">
      <c r="A35" t="s">
        <v>48</v>
      </c>
      <c r="B35" s="2">
        <v>44499</v>
      </c>
      <c r="C35" s="2">
        <v>44960</v>
      </c>
      <c r="D35" t="s">
        <v>350</v>
      </c>
      <c r="E35" t="s">
        <v>359</v>
      </c>
      <c r="F35" t="s">
        <v>364</v>
      </c>
      <c r="G35" s="1" t="s">
        <v>373</v>
      </c>
      <c r="H35" s="1" t="s">
        <v>377</v>
      </c>
      <c r="I35" s="1" t="s">
        <v>381</v>
      </c>
      <c r="J35" t="s">
        <v>372</v>
      </c>
      <c r="K35" t="str">
        <f ca="1">TRIM(Table1_2[[#This Row],[Sub-Category]])</f>
        <v>Chairs</v>
      </c>
      <c r="L35" s="5">
        <v>1501.7</v>
      </c>
      <c r="M35">
        <v>1</v>
      </c>
      <c r="N35" s="17">
        <v>0.01</v>
      </c>
      <c r="O35" s="5">
        <v>111</v>
      </c>
      <c r="P35" s="8">
        <f>IF(Table1_2[[#This Row],[Sales]]=0, 0,Table1_2[[#This Row],[Profit]]/Table1_2[[#This Row],[Sales]])</f>
        <v>7.3916228274622089E-2</v>
      </c>
      <c r="Q35" s="7">
        <f>Table1_2[[#This Row],[Sales]]/Table1_2[[#This Row],[Quantity]]</f>
        <v>1501.7</v>
      </c>
      <c r="R35" t="str">
        <f>IF(Table1_2[[#This Row],[Profit]]&gt;0, "YES", "NO")</f>
        <v>YES</v>
      </c>
      <c r="S35" t="str">
        <f>TEXT(Table1_2[[#This Row],[Order Date]], "MMM")</f>
        <v>Oct</v>
      </c>
      <c r="T35" t="str">
        <f>TEXT(Table1_2[[#This Row],[Ship Date]],"YYYY")</f>
        <v>2023</v>
      </c>
      <c r="U35" s="1">
        <f>MONTH(1&amp;Table1_2[[#This Row],[Month]])</f>
        <v>10</v>
      </c>
    </row>
    <row r="36" spans="1:21" x14ac:dyDescent="0.3">
      <c r="A36" t="s">
        <v>49</v>
      </c>
      <c r="B36" s="2">
        <v>44687</v>
      </c>
      <c r="C36" s="2">
        <v>44303</v>
      </c>
      <c r="D36" t="s">
        <v>350</v>
      </c>
      <c r="E36" t="s">
        <v>353</v>
      </c>
      <c r="F36" t="s">
        <v>364</v>
      </c>
      <c r="G36" s="1" t="s">
        <v>367</v>
      </c>
      <c r="H36" s="1" t="s">
        <v>379</v>
      </c>
      <c r="I36" s="1" t="s">
        <v>384</v>
      </c>
      <c r="J36" t="s">
        <v>372</v>
      </c>
      <c r="K36" t="str">
        <f ca="1">TRIM(Table1_2[[#This Row],[Sub-Category]])</f>
        <v>Paper</v>
      </c>
      <c r="L36" s="5">
        <v>282.3</v>
      </c>
      <c r="M36">
        <v>7</v>
      </c>
      <c r="N36" s="17">
        <v>0.38</v>
      </c>
      <c r="O36" s="5">
        <v>430.33</v>
      </c>
      <c r="P36" s="8">
        <f>IF(Table1_2[[#This Row],[Sales]]=0, 0,Table1_2[[#This Row],[Profit]]/Table1_2[[#This Row],[Sales]])</f>
        <v>1.5243712362734678</v>
      </c>
      <c r="Q36" s="7">
        <f>Table1_2[[#This Row],[Sales]]/Table1_2[[#This Row],[Quantity]]</f>
        <v>40.328571428571429</v>
      </c>
      <c r="R36" t="str">
        <f>IF(Table1_2[[#This Row],[Profit]]&gt;0, "YES", "NO")</f>
        <v>YES</v>
      </c>
      <c r="S36" t="str">
        <f>TEXT(Table1_2[[#This Row],[Order Date]], "MMM")</f>
        <v>May</v>
      </c>
      <c r="T36" t="str">
        <f>TEXT(Table1_2[[#This Row],[Ship Date]],"YYYY")</f>
        <v>2021</v>
      </c>
      <c r="U36" s="1">
        <f>MONTH(1&amp;Table1_2[[#This Row],[Month]])</f>
        <v>5</v>
      </c>
    </row>
    <row r="37" spans="1:21" x14ac:dyDescent="0.3">
      <c r="A37" t="s">
        <v>50</v>
      </c>
      <c r="B37" s="2">
        <v>44591</v>
      </c>
      <c r="C37" s="2">
        <v>44678</v>
      </c>
      <c r="D37" t="s">
        <v>349</v>
      </c>
      <c r="E37" t="s">
        <v>360</v>
      </c>
      <c r="F37" t="s">
        <v>362</v>
      </c>
      <c r="G37" s="1" t="s">
        <v>415</v>
      </c>
      <c r="H37" s="1" t="s">
        <v>379</v>
      </c>
      <c r="I37" s="1" t="s">
        <v>384</v>
      </c>
      <c r="J37" t="s">
        <v>386</v>
      </c>
      <c r="K37" t="str">
        <f ca="1">TRIM(Table1_2[[#This Row],[Sub-Category]])</f>
        <v>NA</v>
      </c>
      <c r="L37" s="5">
        <v>1372.26</v>
      </c>
      <c r="M37">
        <v>7</v>
      </c>
      <c r="N37" s="17">
        <v>7.0000000000000007E-2</v>
      </c>
      <c r="O37" s="5">
        <v>427</v>
      </c>
      <c r="P37" s="8">
        <f>IF(Table1_2[[#This Row],[Sales]]=0, 0,Table1_2[[#This Row],[Profit]]/Table1_2[[#This Row],[Sales]])</f>
        <v>0.31116552256860947</v>
      </c>
      <c r="Q37" s="7">
        <f>Table1_2[[#This Row],[Sales]]/Table1_2[[#This Row],[Quantity]]</f>
        <v>196.03714285714287</v>
      </c>
      <c r="R37" t="str">
        <f>IF(Table1_2[[#This Row],[Profit]]&gt;0, "YES", "NO")</f>
        <v>YES</v>
      </c>
      <c r="S37" t="str">
        <f>TEXT(Table1_2[[#This Row],[Order Date]], "MMM")</f>
        <v>Jan</v>
      </c>
      <c r="T37" t="str">
        <f>TEXT(Table1_2[[#This Row],[Ship Date]],"YYYY")</f>
        <v>2022</v>
      </c>
      <c r="U37" s="1">
        <f>MONTH(1&amp;Table1_2[[#This Row],[Month]])</f>
        <v>1</v>
      </c>
    </row>
    <row r="38" spans="1:21" x14ac:dyDescent="0.3">
      <c r="A38" t="s">
        <v>51</v>
      </c>
      <c r="B38" s="2">
        <v>44427</v>
      </c>
      <c r="C38" s="2">
        <v>44824</v>
      </c>
      <c r="D38" t="s">
        <v>349</v>
      </c>
      <c r="E38" t="s">
        <v>356</v>
      </c>
      <c r="F38" t="s">
        <v>362</v>
      </c>
      <c r="G38" s="1" t="s">
        <v>367</v>
      </c>
      <c r="H38" s="1" t="s">
        <v>377</v>
      </c>
      <c r="I38" s="1" t="s">
        <v>383</v>
      </c>
      <c r="J38" t="s">
        <v>388</v>
      </c>
      <c r="K38" t="str">
        <f ca="1">TRIM(Table1_2[[#This Row],[Sub-Category]])</f>
        <v>NA</v>
      </c>
      <c r="L38" s="5">
        <v>987.25</v>
      </c>
      <c r="M38">
        <v>3</v>
      </c>
      <c r="N38" s="17">
        <v>0.04</v>
      </c>
      <c r="O38" s="5">
        <v>639.16999999999996</v>
      </c>
      <c r="P38" s="8">
        <f>IF(Table1_2[[#This Row],[Sales]]=0, 0,Table1_2[[#This Row],[Profit]]/Table1_2[[#This Row],[Sales]])</f>
        <v>0.64742466447201819</v>
      </c>
      <c r="Q38" s="7">
        <f>Table1_2[[#This Row],[Sales]]/Table1_2[[#This Row],[Quantity]]</f>
        <v>329.08333333333331</v>
      </c>
      <c r="R38" t="str">
        <f>IF(Table1_2[[#This Row],[Profit]]&gt;0, "YES", "NO")</f>
        <v>YES</v>
      </c>
      <c r="S38" t="str">
        <f>TEXT(Table1_2[[#This Row],[Order Date]], "MMM")</f>
        <v>Aug</v>
      </c>
      <c r="T38" t="str">
        <f>TEXT(Table1_2[[#This Row],[Ship Date]],"YYYY")</f>
        <v>2022</v>
      </c>
      <c r="U38" s="1">
        <f>MONTH(1&amp;Table1_2[[#This Row],[Month]])</f>
        <v>8</v>
      </c>
    </row>
    <row r="39" spans="1:21" x14ac:dyDescent="0.3">
      <c r="A39" t="s">
        <v>52</v>
      </c>
      <c r="B39" s="2">
        <v>44613</v>
      </c>
      <c r="C39" s="2">
        <v>44624</v>
      </c>
      <c r="D39" t="s">
        <v>349</v>
      </c>
      <c r="E39" t="s">
        <v>359</v>
      </c>
      <c r="F39" t="s">
        <v>361</v>
      </c>
      <c r="G39" s="1" t="s">
        <v>415</v>
      </c>
      <c r="H39" s="1" t="s">
        <v>415</v>
      </c>
      <c r="I39" s="1" t="s">
        <v>385</v>
      </c>
      <c r="J39" t="s">
        <v>388</v>
      </c>
      <c r="K39" t="str">
        <f ca="1">TRIM(Table1_2[[#This Row],[Sub-Category]])</f>
        <v>Chairs</v>
      </c>
      <c r="L39" s="5">
        <v>43.48</v>
      </c>
      <c r="M39">
        <v>1</v>
      </c>
      <c r="N39" s="17">
        <v>0.09</v>
      </c>
      <c r="O39" s="5">
        <v>539.89</v>
      </c>
      <c r="P39" s="8">
        <f>IF(Table1_2[[#This Row],[Sales]]=0, 0,Table1_2[[#This Row],[Profit]]/Table1_2[[#This Row],[Sales]])</f>
        <v>12.416973321067157</v>
      </c>
      <c r="Q39" s="7">
        <f>Table1_2[[#This Row],[Sales]]/Table1_2[[#This Row],[Quantity]]</f>
        <v>43.48</v>
      </c>
      <c r="R39" t="str">
        <f>IF(Table1_2[[#This Row],[Profit]]&gt;0, "YES", "NO")</f>
        <v>YES</v>
      </c>
      <c r="S39" t="str">
        <f>TEXT(Table1_2[[#This Row],[Order Date]], "MMM")</f>
        <v>Feb</v>
      </c>
      <c r="T39" t="str">
        <f>TEXT(Table1_2[[#This Row],[Ship Date]],"YYYY")</f>
        <v>2022</v>
      </c>
      <c r="U39" s="1">
        <f>MONTH(1&amp;Table1_2[[#This Row],[Month]])</f>
        <v>2</v>
      </c>
    </row>
    <row r="40" spans="1:21" x14ac:dyDescent="0.3">
      <c r="A40" t="s">
        <v>53</v>
      </c>
      <c r="B40" s="2">
        <v>44348</v>
      </c>
      <c r="C40" s="2">
        <v>44897</v>
      </c>
      <c r="D40" t="s">
        <v>351</v>
      </c>
      <c r="E40" t="s">
        <v>359</v>
      </c>
      <c r="F40" t="s">
        <v>362</v>
      </c>
      <c r="G40" s="1" t="s">
        <v>367</v>
      </c>
      <c r="H40" s="1" t="s">
        <v>414</v>
      </c>
      <c r="I40" s="1" t="s">
        <v>381</v>
      </c>
      <c r="J40" t="s">
        <v>386</v>
      </c>
      <c r="K40" t="str">
        <f ca="1">TRIM(Table1_2[[#This Row],[Sub-Category]])</f>
        <v>Paper</v>
      </c>
      <c r="L40" s="5">
        <v>556</v>
      </c>
      <c r="M40">
        <v>3</v>
      </c>
      <c r="N40" s="17">
        <v>0.49</v>
      </c>
      <c r="O40" s="5">
        <v>640.58000000000004</v>
      </c>
      <c r="P40" s="8">
        <f>IF(Table1_2[[#This Row],[Sales]]=0, 0,Table1_2[[#This Row],[Profit]]/Table1_2[[#This Row],[Sales]])</f>
        <v>1.1521223021582734</v>
      </c>
      <c r="Q40" s="7">
        <f>Table1_2[[#This Row],[Sales]]/Table1_2[[#This Row],[Quantity]]</f>
        <v>185.33333333333334</v>
      </c>
      <c r="R40" t="str">
        <f>IF(Table1_2[[#This Row],[Profit]]&gt;0, "YES", "NO")</f>
        <v>YES</v>
      </c>
      <c r="S40" t="str">
        <f>TEXT(Table1_2[[#This Row],[Order Date]], "MMM")</f>
        <v>Jun</v>
      </c>
      <c r="T40" t="str">
        <f>TEXT(Table1_2[[#This Row],[Ship Date]],"YYYY")</f>
        <v>2022</v>
      </c>
      <c r="U40" s="1">
        <f>MONTH(1&amp;Table1_2[[#This Row],[Month]])</f>
        <v>6</v>
      </c>
    </row>
    <row r="41" spans="1:21" x14ac:dyDescent="0.3">
      <c r="A41" t="s">
        <v>54</v>
      </c>
      <c r="B41" s="2">
        <v>44198</v>
      </c>
      <c r="C41" s="2">
        <v>44438</v>
      </c>
      <c r="D41" t="s">
        <v>352</v>
      </c>
      <c r="E41" t="s">
        <v>355</v>
      </c>
      <c r="F41" t="s">
        <v>364</v>
      </c>
      <c r="G41" s="1" t="s">
        <v>415</v>
      </c>
      <c r="H41" s="1" t="s">
        <v>376</v>
      </c>
      <c r="I41" s="1" t="s">
        <v>381</v>
      </c>
      <c r="J41" t="s">
        <v>386</v>
      </c>
      <c r="K41" t="str">
        <f ca="1">TRIM(Table1_2[[#This Row],[Sub-Category]])</f>
        <v>Phones</v>
      </c>
      <c r="L41" s="5">
        <v>1911.21</v>
      </c>
      <c r="M41">
        <v>8</v>
      </c>
      <c r="N41" s="17">
        <v>0.45</v>
      </c>
      <c r="O41" s="5">
        <v>425</v>
      </c>
      <c r="P41" s="8">
        <f>IF(Table1_2[[#This Row],[Sales]]=0, 0,Table1_2[[#This Row],[Profit]]/Table1_2[[#This Row],[Sales]])</f>
        <v>0.22237221446099592</v>
      </c>
      <c r="Q41" s="7">
        <f>Table1_2[[#This Row],[Sales]]/Table1_2[[#This Row],[Quantity]]</f>
        <v>238.90125</v>
      </c>
      <c r="R41" t="str">
        <f>IF(Table1_2[[#This Row],[Profit]]&gt;0, "YES", "NO")</f>
        <v>YES</v>
      </c>
      <c r="S41" t="str">
        <f>TEXT(Table1_2[[#This Row],[Order Date]], "MMM")</f>
        <v>Jan</v>
      </c>
      <c r="T41" t="str">
        <f>TEXT(Table1_2[[#This Row],[Ship Date]],"YYYY")</f>
        <v>2021</v>
      </c>
      <c r="U41" s="1">
        <f>MONTH(1&amp;Table1_2[[#This Row],[Month]])</f>
        <v>1</v>
      </c>
    </row>
    <row r="42" spans="1:21" x14ac:dyDescent="0.3">
      <c r="A42" t="s">
        <v>55</v>
      </c>
      <c r="B42" s="2">
        <v>44486</v>
      </c>
      <c r="C42" s="2">
        <v>44804</v>
      </c>
      <c r="D42" t="s">
        <v>350</v>
      </c>
      <c r="E42" t="s">
        <v>356</v>
      </c>
      <c r="F42" t="s">
        <v>362</v>
      </c>
      <c r="G42" s="1" t="s">
        <v>365</v>
      </c>
      <c r="H42" s="1" t="s">
        <v>374</v>
      </c>
      <c r="I42" s="1" t="s">
        <v>384</v>
      </c>
      <c r="J42" t="s">
        <v>387</v>
      </c>
      <c r="K42" t="str">
        <f ca="1">TRIM(Table1_2[[#This Row],[Sub-Category]])</f>
        <v>Tables</v>
      </c>
      <c r="L42" s="5">
        <v>638</v>
      </c>
      <c r="M42">
        <v>2</v>
      </c>
      <c r="N42" s="17">
        <v>0.56999999999999995</v>
      </c>
      <c r="O42" s="5">
        <v>249.46</v>
      </c>
      <c r="P42" s="8">
        <f>IF(Table1_2[[#This Row],[Sales]]=0, 0,Table1_2[[#This Row],[Profit]]/Table1_2[[#This Row],[Sales]])</f>
        <v>0.39100313479623827</v>
      </c>
      <c r="Q42" s="7">
        <f>Table1_2[[#This Row],[Sales]]/Table1_2[[#This Row],[Quantity]]</f>
        <v>319</v>
      </c>
      <c r="R42" t="str">
        <f>IF(Table1_2[[#This Row],[Profit]]&gt;0, "YES", "NO")</f>
        <v>YES</v>
      </c>
      <c r="S42" t="str">
        <f>TEXT(Table1_2[[#This Row],[Order Date]], "MMM")</f>
        <v>Oct</v>
      </c>
      <c r="T42" t="str">
        <f>TEXT(Table1_2[[#This Row],[Ship Date]],"YYYY")</f>
        <v>2022</v>
      </c>
      <c r="U42" s="1">
        <f>MONTH(1&amp;Table1_2[[#This Row],[Month]])</f>
        <v>10</v>
      </c>
    </row>
    <row r="43" spans="1:21" x14ac:dyDescent="0.3">
      <c r="A43" t="s">
        <v>56</v>
      </c>
      <c r="B43" s="2">
        <v>44309</v>
      </c>
      <c r="C43" s="2">
        <v>44842</v>
      </c>
      <c r="D43" t="s">
        <v>351</v>
      </c>
      <c r="E43" t="s">
        <v>357</v>
      </c>
      <c r="F43" t="s">
        <v>362</v>
      </c>
      <c r="G43" s="1" t="s">
        <v>365</v>
      </c>
      <c r="H43" s="1" t="s">
        <v>378</v>
      </c>
      <c r="I43" s="1" t="s">
        <v>383</v>
      </c>
      <c r="J43" t="s">
        <v>387</v>
      </c>
      <c r="K43" t="str">
        <f ca="1">TRIM(Table1_2[[#This Row],[Sub-Category]])</f>
        <v>Paper</v>
      </c>
      <c r="L43" s="5">
        <v>371.09</v>
      </c>
      <c r="M43">
        <v>8</v>
      </c>
      <c r="N43" s="17">
        <v>0.59</v>
      </c>
      <c r="O43" s="5">
        <v>193.57</v>
      </c>
      <c r="P43" s="8">
        <f>IF(Table1_2[[#This Row],[Sales]]=0, 0,Table1_2[[#This Row],[Profit]]/Table1_2[[#This Row],[Sales]])</f>
        <v>0.52162548168907819</v>
      </c>
      <c r="Q43" s="7">
        <f>Table1_2[[#This Row],[Sales]]/Table1_2[[#This Row],[Quantity]]</f>
        <v>46.386249999999997</v>
      </c>
      <c r="R43" t="str">
        <f>IF(Table1_2[[#This Row],[Profit]]&gt;0, "YES", "NO")</f>
        <v>YES</v>
      </c>
      <c r="S43" t="str">
        <f>TEXT(Table1_2[[#This Row],[Order Date]], "MMM")</f>
        <v>Apr</v>
      </c>
      <c r="T43" t="str">
        <f>TEXT(Table1_2[[#This Row],[Ship Date]],"YYYY")</f>
        <v>2022</v>
      </c>
      <c r="U43" s="1">
        <f>MONTH(1&amp;Table1_2[[#This Row],[Month]])</f>
        <v>4</v>
      </c>
    </row>
    <row r="44" spans="1:21" x14ac:dyDescent="0.3">
      <c r="A44" t="s">
        <v>57</v>
      </c>
      <c r="B44" s="2">
        <v>44611</v>
      </c>
      <c r="C44" s="2">
        <v>44831</v>
      </c>
      <c r="D44" t="s">
        <v>349</v>
      </c>
      <c r="E44" t="s">
        <v>353</v>
      </c>
      <c r="F44" t="s">
        <v>364</v>
      </c>
      <c r="G44" s="1" t="s">
        <v>368</v>
      </c>
      <c r="H44" s="1" t="s">
        <v>374</v>
      </c>
      <c r="I44" s="1" t="s">
        <v>381</v>
      </c>
      <c r="J44" t="s">
        <v>387</v>
      </c>
      <c r="K44" t="str">
        <f ca="1">TRIM(Table1_2[[#This Row],[Sub-Category]])</f>
        <v>Phones</v>
      </c>
      <c r="L44" s="5">
        <v>383.19</v>
      </c>
      <c r="M44">
        <v>5</v>
      </c>
      <c r="N44" s="17">
        <v>0.54</v>
      </c>
      <c r="O44" s="5">
        <v>179.03</v>
      </c>
      <c r="P44" s="8">
        <f>IF(Table1_2[[#This Row],[Sales]]=0, 0,Table1_2[[#This Row],[Profit]]/Table1_2[[#This Row],[Sales]])</f>
        <v>0.4672094783266787</v>
      </c>
      <c r="Q44" s="7">
        <f>Table1_2[[#This Row],[Sales]]/Table1_2[[#This Row],[Quantity]]</f>
        <v>76.638000000000005</v>
      </c>
      <c r="R44" t="str">
        <f>IF(Table1_2[[#This Row],[Profit]]&gt;0, "YES", "NO")</f>
        <v>YES</v>
      </c>
      <c r="S44" t="str">
        <f>TEXT(Table1_2[[#This Row],[Order Date]], "MMM")</f>
        <v>Feb</v>
      </c>
      <c r="T44" t="str">
        <f>TEXT(Table1_2[[#This Row],[Ship Date]],"YYYY")</f>
        <v>2022</v>
      </c>
      <c r="U44" s="1">
        <f>MONTH(1&amp;Table1_2[[#This Row],[Month]])</f>
        <v>2</v>
      </c>
    </row>
    <row r="45" spans="1:21" x14ac:dyDescent="0.3">
      <c r="A45" t="s">
        <v>58</v>
      </c>
      <c r="B45" s="2">
        <v>45059</v>
      </c>
      <c r="C45" s="2">
        <v>44487</v>
      </c>
      <c r="D45" t="s">
        <v>351</v>
      </c>
      <c r="E45" t="s">
        <v>353</v>
      </c>
      <c r="F45" t="s">
        <v>362</v>
      </c>
      <c r="G45" s="1" t="s">
        <v>369</v>
      </c>
      <c r="H45" s="1" t="s">
        <v>415</v>
      </c>
      <c r="I45" s="1" t="s">
        <v>383</v>
      </c>
      <c r="J45" t="s">
        <v>372</v>
      </c>
      <c r="K45" t="str">
        <f ca="1">TRIM(Table1_2[[#This Row],[Sub-Category]])</f>
        <v>Binders</v>
      </c>
      <c r="L45" s="5">
        <v>964</v>
      </c>
      <c r="M45">
        <v>2</v>
      </c>
      <c r="N45" s="17">
        <v>0.08</v>
      </c>
      <c r="O45" s="5">
        <v>218</v>
      </c>
      <c r="P45" s="8">
        <f>IF(Table1_2[[#This Row],[Sales]]=0, 0,Table1_2[[#This Row],[Profit]]/Table1_2[[#This Row],[Sales]])</f>
        <v>0.22614107883817428</v>
      </c>
      <c r="Q45" s="7">
        <f>Table1_2[[#This Row],[Sales]]/Table1_2[[#This Row],[Quantity]]</f>
        <v>482</v>
      </c>
      <c r="R45" t="str">
        <f>IF(Table1_2[[#This Row],[Profit]]&gt;0, "YES", "NO")</f>
        <v>YES</v>
      </c>
      <c r="S45" t="str">
        <f>TEXT(Table1_2[[#This Row],[Order Date]], "MMM")</f>
        <v>May</v>
      </c>
      <c r="T45" t="str">
        <f>TEXT(Table1_2[[#This Row],[Ship Date]],"YYYY")</f>
        <v>2021</v>
      </c>
      <c r="U45" s="1">
        <f>MONTH(1&amp;Table1_2[[#This Row],[Month]])</f>
        <v>5</v>
      </c>
    </row>
    <row r="46" spans="1:21" x14ac:dyDescent="0.3">
      <c r="A46" t="s">
        <v>59</v>
      </c>
      <c r="B46" s="2">
        <v>44359</v>
      </c>
      <c r="C46" s="2">
        <v>44503</v>
      </c>
      <c r="D46" t="s">
        <v>349</v>
      </c>
      <c r="E46" t="s">
        <v>354</v>
      </c>
      <c r="F46" t="s">
        <v>363</v>
      </c>
      <c r="G46" s="1" t="s">
        <v>367</v>
      </c>
      <c r="H46" s="1" t="s">
        <v>379</v>
      </c>
      <c r="I46" s="1" t="s">
        <v>372</v>
      </c>
      <c r="J46" t="s">
        <v>388</v>
      </c>
      <c r="K46" t="str">
        <f ca="1">TRIM(Table1_2[[#This Row],[Sub-Category]])</f>
        <v>NA</v>
      </c>
      <c r="L46" s="5">
        <v>1686.87</v>
      </c>
      <c r="M46">
        <v>9</v>
      </c>
      <c r="N46" s="17">
        <v>0.53</v>
      </c>
      <c r="O46" s="5">
        <v>-70.69</v>
      </c>
      <c r="P46" s="8">
        <f>IF(Table1_2[[#This Row],[Sales]]=0, 0,Table1_2[[#This Row],[Profit]]/Table1_2[[#This Row],[Sales]])</f>
        <v>-4.1906015282742598E-2</v>
      </c>
      <c r="Q46" s="7">
        <f>Table1_2[[#This Row],[Sales]]/Table1_2[[#This Row],[Quantity]]</f>
        <v>187.42999999999998</v>
      </c>
      <c r="R46" t="str">
        <f>IF(Table1_2[[#This Row],[Profit]]&gt;0, "YES", "NO")</f>
        <v>NO</v>
      </c>
      <c r="S46" t="str">
        <f>TEXT(Table1_2[[#This Row],[Order Date]], "MMM")</f>
        <v>Jun</v>
      </c>
      <c r="T46" t="str">
        <f>TEXT(Table1_2[[#This Row],[Ship Date]],"YYYY")</f>
        <v>2021</v>
      </c>
      <c r="U46" s="1">
        <f>MONTH(1&amp;Table1_2[[#This Row],[Month]])</f>
        <v>6</v>
      </c>
    </row>
    <row r="47" spans="1:21" x14ac:dyDescent="0.3">
      <c r="A47" t="s">
        <v>60</v>
      </c>
      <c r="B47" s="2">
        <v>44198</v>
      </c>
      <c r="C47" s="2">
        <v>44455</v>
      </c>
      <c r="D47" t="s">
        <v>351</v>
      </c>
      <c r="E47" t="s">
        <v>358</v>
      </c>
      <c r="F47" t="s">
        <v>364</v>
      </c>
      <c r="G47" s="1" t="s">
        <v>373</v>
      </c>
      <c r="H47" s="1" t="s">
        <v>415</v>
      </c>
      <c r="I47" s="1" t="s">
        <v>385</v>
      </c>
      <c r="J47" t="s">
        <v>372</v>
      </c>
      <c r="K47" t="str">
        <f ca="1">TRIM(Table1_2[[#This Row],[Sub-Category]])</f>
        <v>NA</v>
      </c>
      <c r="L47" s="5">
        <v>1518</v>
      </c>
      <c r="M47">
        <v>5</v>
      </c>
      <c r="N47" s="17">
        <v>0.5</v>
      </c>
      <c r="O47" s="5">
        <v>223.96</v>
      </c>
      <c r="P47" s="8">
        <f>IF(Table1_2[[#This Row],[Sales]]=0, 0,Table1_2[[#This Row],[Profit]]/Table1_2[[#This Row],[Sales]])</f>
        <v>0.14753623188405798</v>
      </c>
      <c r="Q47" s="7">
        <f>Table1_2[[#This Row],[Sales]]/Table1_2[[#This Row],[Quantity]]</f>
        <v>303.60000000000002</v>
      </c>
      <c r="R47" t="str">
        <f>IF(Table1_2[[#This Row],[Profit]]&gt;0, "YES", "NO")</f>
        <v>YES</v>
      </c>
      <c r="S47" t="str">
        <f>TEXT(Table1_2[[#This Row],[Order Date]], "MMM")</f>
        <v>Jan</v>
      </c>
      <c r="T47" t="str">
        <f>TEXT(Table1_2[[#This Row],[Ship Date]],"YYYY")</f>
        <v>2021</v>
      </c>
      <c r="U47" s="1">
        <f>MONTH(1&amp;Table1_2[[#This Row],[Month]])</f>
        <v>1</v>
      </c>
    </row>
    <row r="48" spans="1:21" x14ac:dyDescent="0.3">
      <c r="A48" t="s">
        <v>61</v>
      </c>
      <c r="B48" s="2">
        <v>44308</v>
      </c>
      <c r="C48" s="2">
        <v>44777</v>
      </c>
      <c r="D48" t="s">
        <v>351</v>
      </c>
      <c r="E48" t="s">
        <v>358</v>
      </c>
      <c r="F48" t="s">
        <v>364</v>
      </c>
      <c r="G48" s="1" t="s">
        <v>367</v>
      </c>
      <c r="H48" s="1" t="s">
        <v>378</v>
      </c>
      <c r="I48" s="1" t="s">
        <v>381</v>
      </c>
      <c r="J48" t="s">
        <v>388</v>
      </c>
      <c r="K48" t="str">
        <f ca="1">TRIM(Table1_2[[#This Row],[Sub-Category]])</f>
        <v>Binders</v>
      </c>
      <c r="L48" s="5">
        <v>879.34</v>
      </c>
      <c r="M48">
        <v>7</v>
      </c>
      <c r="N48" s="17">
        <v>0.52</v>
      </c>
      <c r="O48" s="5">
        <v>189</v>
      </c>
      <c r="P48" s="8">
        <f>IF(Table1_2[[#This Row],[Sales]]=0, 0,Table1_2[[#This Row],[Profit]]/Table1_2[[#This Row],[Sales]])</f>
        <v>0.21493392771851616</v>
      </c>
      <c r="Q48" s="7">
        <f>Table1_2[[#This Row],[Sales]]/Table1_2[[#This Row],[Quantity]]</f>
        <v>125.62</v>
      </c>
      <c r="R48" t="str">
        <f>IF(Table1_2[[#This Row],[Profit]]&gt;0, "YES", "NO")</f>
        <v>YES</v>
      </c>
      <c r="S48" t="str">
        <f>TEXT(Table1_2[[#This Row],[Order Date]], "MMM")</f>
        <v>Apr</v>
      </c>
      <c r="T48" t="str">
        <f>TEXT(Table1_2[[#This Row],[Ship Date]],"YYYY")</f>
        <v>2022</v>
      </c>
      <c r="U48" s="1">
        <f>MONTH(1&amp;Table1_2[[#This Row],[Month]])</f>
        <v>4</v>
      </c>
    </row>
    <row r="49" spans="1:21" x14ac:dyDescent="0.3">
      <c r="A49" t="s">
        <v>62</v>
      </c>
      <c r="B49" s="2">
        <v>44705</v>
      </c>
      <c r="C49" s="2">
        <v>44842</v>
      </c>
      <c r="D49" t="s">
        <v>352</v>
      </c>
      <c r="E49" t="s">
        <v>357</v>
      </c>
      <c r="F49" t="s">
        <v>362</v>
      </c>
      <c r="G49" s="1" t="s">
        <v>415</v>
      </c>
      <c r="H49" s="1" t="s">
        <v>377</v>
      </c>
      <c r="I49" s="1" t="s">
        <v>381</v>
      </c>
      <c r="J49" t="s">
        <v>388</v>
      </c>
      <c r="K49" t="str">
        <f ca="1">TRIM(Table1_2[[#This Row],[Sub-Category]])</f>
        <v>Paper</v>
      </c>
      <c r="L49" s="5">
        <v>425.37</v>
      </c>
      <c r="M49">
        <v>1</v>
      </c>
      <c r="N49" s="17">
        <v>0.09</v>
      </c>
      <c r="O49" s="5">
        <v>-165.43</v>
      </c>
      <c r="P49" s="8">
        <f>IF(Table1_2[[#This Row],[Sales]]=0, 0,Table1_2[[#This Row],[Profit]]/Table1_2[[#This Row],[Sales]])</f>
        <v>-0.38890847967651693</v>
      </c>
      <c r="Q49" s="7">
        <f>Table1_2[[#This Row],[Sales]]/Table1_2[[#This Row],[Quantity]]</f>
        <v>425.37</v>
      </c>
      <c r="R49" t="str">
        <f>IF(Table1_2[[#This Row],[Profit]]&gt;0, "YES", "NO")</f>
        <v>NO</v>
      </c>
      <c r="S49" t="str">
        <f>TEXT(Table1_2[[#This Row],[Order Date]], "MMM")</f>
        <v>May</v>
      </c>
      <c r="T49" t="str">
        <f>TEXT(Table1_2[[#This Row],[Ship Date]],"YYYY")</f>
        <v>2022</v>
      </c>
      <c r="U49" s="1">
        <f>MONTH(1&amp;Table1_2[[#This Row],[Month]])</f>
        <v>5</v>
      </c>
    </row>
    <row r="50" spans="1:21" x14ac:dyDescent="0.3">
      <c r="A50" t="s">
        <v>63</v>
      </c>
      <c r="B50" s="2">
        <v>44237</v>
      </c>
      <c r="C50" s="2">
        <v>44560</v>
      </c>
      <c r="D50" t="s">
        <v>351</v>
      </c>
      <c r="E50" t="s">
        <v>355</v>
      </c>
      <c r="F50" t="s">
        <v>361</v>
      </c>
      <c r="G50" s="1" t="s">
        <v>371</v>
      </c>
      <c r="H50" s="1" t="s">
        <v>376</v>
      </c>
      <c r="I50" s="1" t="s">
        <v>372</v>
      </c>
      <c r="J50" t="s">
        <v>387</v>
      </c>
      <c r="K50" t="str">
        <f ca="1">TRIM(Table1_2[[#This Row],[Sub-Category]])</f>
        <v>Chairs</v>
      </c>
      <c r="L50" s="5">
        <v>102</v>
      </c>
      <c r="M50">
        <v>4</v>
      </c>
      <c r="N50" s="17">
        <v>7.0000000000000007E-2</v>
      </c>
      <c r="O50" s="5">
        <v>75.13</v>
      </c>
      <c r="P50" s="8">
        <f>IF(Table1_2[[#This Row],[Sales]]=0, 0,Table1_2[[#This Row],[Profit]]/Table1_2[[#This Row],[Sales]])</f>
        <v>0.7365686274509804</v>
      </c>
      <c r="Q50" s="7">
        <f>Table1_2[[#This Row],[Sales]]/Table1_2[[#This Row],[Quantity]]</f>
        <v>25.5</v>
      </c>
      <c r="R50" t="str">
        <f>IF(Table1_2[[#This Row],[Profit]]&gt;0, "YES", "NO")</f>
        <v>YES</v>
      </c>
      <c r="S50" t="str">
        <f>TEXT(Table1_2[[#This Row],[Order Date]], "MMM")</f>
        <v>Feb</v>
      </c>
      <c r="T50" t="str">
        <f>TEXT(Table1_2[[#This Row],[Ship Date]],"YYYY")</f>
        <v>2021</v>
      </c>
      <c r="U50" s="1">
        <f>MONTH(1&amp;Table1_2[[#This Row],[Month]])</f>
        <v>2</v>
      </c>
    </row>
    <row r="51" spans="1:21" x14ac:dyDescent="0.3">
      <c r="A51" t="s">
        <v>64</v>
      </c>
      <c r="B51" s="2">
        <v>44686</v>
      </c>
      <c r="C51" s="2">
        <v>44607</v>
      </c>
      <c r="D51" t="s">
        <v>350</v>
      </c>
      <c r="E51" t="s">
        <v>355</v>
      </c>
      <c r="F51" t="s">
        <v>362</v>
      </c>
      <c r="G51" s="1" t="s">
        <v>369</v>
      </c>
      <c r="H51" s="1" t="s">
        <v>374</v>
      </c>
      <c r="I51" s="1" t="s">
        <v>381</v>
      </c>
      <c r="J51" t="s">
        <v>388</v>
      </c>
      <c r="K51" t="str">
        <f ca="1">TRIM(Table1_2[[#This Row],[Sub-Category]])</f>
        <v>Paper</v>
      </c>
      <c r="L51" s="5">
        <v>930.63</v>
      </c>
      <c r="M51">
        <v>6</v>
      </c>
      <c r="N51" s="17">
        <v>0.55000000000000004</v>
      </c>
      <c r="O51" s="5">
        <v>551.91</v>
      </c>
      <c r="P51" s="8">
        <f>IF(Table1_2[[#This Row],[Sales]]=0, 0,Table1_2[[#This Row],[Profit]]/Table1_2[[#This Row],[Sales]])</f>
        <v>0.59304986944328031</v>
      </c>
      <c r="Q51" s="7">
        <f>Table1_2[[#This Row],[Sales]]/Table1_2[[#This Row],[Quantity]]</f>
        <v>155.10499999999999</v>
      </c>
      <c r="R51" t="str">
        <f>IF(Table1_2[[#This Row],[Profit]]&gt;0, "YES", "NO")</f>
        <v>YES</v>
      </c>
      <c r="S51" t="str">
        <f>TEXT(Table1_2[[#This Row],[Order Date]], "MMM")</f>
        <v>May</v>
      </c>
      <c r="T51" t="str">
        <f>TEXT(Table1_2[[#This Row],[Ship Date]],"YYYY")</f>
        <v>2022</v>
      </c>
      <c r="U51" s="1">
        <f>MONTH(1&amp;Table1_2[[#This Row],[Month]])</f>
        <v>5</v>
      </c>
    </row>
    <row r="52" spans="1:21" x14ac:dyDescent="0.3">
      <c r="A52" t="s">
        <v>65</v>
      </c>
      <c r="B52" s="2">
        <v>44226</v>
      </c>
      <c r="C52" s="2">
        <v>44484</v>
      </c>
      <c r="D52" t="s">
        <v>349</v>
      </c>
      <c r="E52" t="s">
        <v>358</v>
      </c>
      <c r="F52" t="s">
        <v>362</v>
      </c>
      <c r="G52" s="1" t="s">
        <v>367</v>
      </c>
      <c r="H52" s="1" t="s">
        <v>375</v>
      </c>
      <c r="I52" s="1" t="s">
        <v>384</v>
      </c>
      <c r="J52" t="s">
        <v>388</v>
      </c>
      <c r="K52" t="str">
        <f ca="1">TRIM(Table1_2[[#This Row],[Sub-Category]])</f>
        <v>Tables</v>
      </c>
      <c r="L52" s="5">
        <v>1631.4</v>
      </c>
      <c r="M52">
        <v>6</v>
      </c>
      <c r="N52" s="17">
        <v>0.1</v>
      </c>
      <c r="O52" s="5">
        <v>377.95</v>
      </c>
      <c r="P52" s="8">
        <f>IF(Table1_2[[#This Row],[Sales]]=0, 0,Table1_2[[#This Row],[Profit]]/Table1_2[[#This Row],[Sales]])</f>
        <v>0.23167218340076007</v>
      </c>
      <c r="Q52" s="7">
        <f>Table1_2[[#This Row],[Sales]]/Table1_2[[#This Row],[Quantity]]</f>
        <v>271.90000000000003</v>
      </c>
      <c r="R52" t="str">
        <f>IF(Table1_2[[#This Row],[Profit]]&gt;0, "YES", "NO")</f>
        <v>YES</v>
      </c>
      <c r="S52" t="str">
        <f>TEXT(Table1_2[[#This Row],[Order Date]], "MMM")</f>
        <v>Jan</v>
      </c>
      <c r="T52" t="str">
        <f>TEXT(Table1_2[[#This Row],[Ship Date]],"YYYY")</f>
        <v>2021</v>
      </c>
      <c r="U52" s="1">
        <f>MONTH(1&amp;Table1_2[[#This Row],[Month]])</f>
        <v>1</v>
      </c>
    </row>
    <row r="53" spans="1:21" x14ac:dyDescent="0.3">
      <c r="A53" t="s">
        <v>66</v>
      </c>
      <c r="B53" s="2">
        <v>44530</v>
      </c>
      <c r="C53" s="2">
        <v>44416</v>
      </c>
      <c r="D53" t="s">
        <v>349</v>
      </c>
      <c r="E53" t="s">
        <v>353</v>
      </c>
      <c r="F53" t="s">
        <v>363</v>
      </c>
      <c r="G53" s="1" t="s">
        <v>366</v>
      </c>
      <c r="H53" s="1" t="s">
        <v>380</v>
      </c>
      <c r="I53" s="1" t="s">
        <v>381</v>
      </c>
      <c r="J53" t="s">
        <v>388</v>
      </c>
      <c r="K53" t="str">
        <f ca="1">TRIM(Table1_2[[#This Row],[Sub-Category]])</f>
        <v>NA</v>
      </c>
      <c r="L53" s="5">
        <v>1462.07</v>
      </c>
      <c r="M53">
        <v>1</v>
      </c>
      <c r="N53" s="17">
        <v>0.22</v>
      </c>
      <c r="O53" s="5">
        <v>606.16999999999996</v>
      </c>
      <c r="P53" s="8">
        <f>IF(Table1_2[[#This Row],[Sales]]=0, 0,Table1_2[[#This Row],[Profit]]/Table1_2[[#This Row],[Sales]])</f>
        <v>0.41459711231336394</v>
      </c>
      <c r="Q53" s="7">
        <f>Table1_2[[#This Row],[Sales]]/Table1_2[[#This Row],[Quantity]]</f>
        <v>1462.07</v>
      </c>
      <c r="R53" t="str">
        <f>IF(Table1_2[[#This Row],[Profit]]&gt;0, "YES", "NO")</f>
        <v>YES</v>
      </c>
      <c r="S53" t="str">
        <f>TEXT(Table1_2[[#This Row],[Order Date]], "MMM")</f>
        <v>Nov</v>
      </c>
      <c r="T53" t="str">
        <f>TEXT(Table1_2[[#This Row],[Ship Date]],"YYYY")</f>
        <v>2021</v>
      </c>
      <c r="U53" s="1">
        <f>MONTH(1&amp;Table1_2[[#This Row],[Month]])</f>
        <v>11</v>
      </c>
    </row>
    <row r="54" spans="1:21" x14ac:dyDescent="0.3">
      <c r="A54" t="s">
        <v>67</v>
      </c>
      <c r="B54" s="2">
        <v>44607</v>
      </c>
      <c r="C54" s="2">
        <v>44855</v>
      </c>
      <c r="D54" t="s">
        <v>352</v>
      </c>
      <c r="E54" t="s">
        <v>356</v>
      </c>
      <c r="F54" t="s">
        <v>362</v>
      </c>
      <c r="G54" s="1" t="s">
        <v>415</v>
      </c>
      <c r="H54" s="1" t="s">
        <v>377</v>
      </c>
      <c r="I54" s="1" t="s">
        <v>381</v>
      </c>
      <c r="J54" t="s">
        <v>387</v>
      </c>
      <c r="K54" t="str">
        <f ca="1">TRIM(Table1_2[[#This Row],[Sub-Category]])</f>
        <v>Binders</v>
      </c>
      <c r="L54" s="5">
        <v>823</v>
      </c>
      <c r="M54">
        <v>6</v>
      </c>
      <c r="N54" s="17">
        <v>0.27</v>
      </c>
      <c r="O54" s="5">
        <v>342.69</v>
      </c>
      <c r="P54" s="8">
        <f>IF(Table1_2[[#This Row],[Sales]]=0, 0,Table1_2[[#This Row],[Profit]]/Table1_2[[#This Row],[Sales]])</f>
        <v>0.41639125151883355</v>
      </c>
      <c r="Q54" s="7">
        <f>Table1_2[[#This Row],[Sales]]/Table1_2[[#This Row],[Quantity]]</f>
        <v>137.16666666666666</v>
      </c>
      <c r="R54" t="str">
        <f>IF(Table1_2[[#This Row],[Profit]]&gt;0, "YES", "NO")</f>
        <v>YES</v>
      </c>
      <c r="S54" t="str">
        <f>TEXT(Table1_2[[#This Row],[Order Date]], "MMM")</f>
        <v>Feb</v>
      </c>
      <c r="T54" t="str">
        <f>TEXT(Table1_2[[#This Row],[Ship Date]],"YYYY")</f>
        <v>2022</v>
      </c>
      <c r="U54" s="1">
        <f>MONTH(1&amp;Table1_2[[#This Row],[Month]])</f>
        <v>2</v>
      </c>
    </row>
    <row r="55" spans="1:21" x14ac:dyDescent="0.3">
      <c r="A55" t="s">
        <v>68</v>
      </c>
      <c r="B55" s="2">
        <v>44628</v>
      </c>
      <c r="C55" s="2">
        <v>45014</v>
      </c>
      <c r="D55" t="s">
        <v>350</v>
      </c>
      <c r="E55" t="s">
        <v>359</v>
      </c>
      <c r="F55" t="s">
        <v>362</v>
      </c>
      <c r="G55" s="1" t="s">
        <v>369</v>
      </c>
      <c r="H55" s="1" t="s">
        <v>414</v>
      </c>
      <c r="I55" s="1" t="s">
        <v>384</v>
      </c>
      <c r="J55" t="s">
        <v>372</v>
      </c>
      <c r="K55" t="str">
        <f ca="1">TRIM(Table1_2[[#This Row],[Sub-Category]])</f>
        <v>Paper</v>
      </c>
      <c r="L55" s="5">
        <v>1193.46</v>
      </c>
      <c r="M55">
        <v>9</v>
      </c>
      <c r="N55" s="17">
        <v>7.0000000000000007E-2</v>
      </c>
      <c r="O55" s="5">
        <v>654.08000000000004</v>
      </c>
      <c r="P55" s="8">
        <f>IF(Table1_2[[#This Row],[Sales]]=0, 0,Table1_2[[#This Row],[Profit]]/Table1_2[[#This Row],[Sales]])</f>
        <v>0.54805355856082316</v>
      </c>
      <c r="Q55" s="7">
        <f>Table1_2[[#This Row],[Sales]]/Table1_2[[#This Row],[Quantity]]</f>
        <v>132.60666666666668</v>
      </c>
      <c r="R55" t="str">
        <f>IF(Table1_2[[#This Row],[Profit]]&gt;0, "YES", "NO")</f>
        <v>YES</v>
      </c>
      <c r="S55" t="str">
        <f>TEXT(Table1_2[[#This Row],[Order Date]], "MMM")</f>
        <v>Mar</v>
      </c>
      <c r="T55" t="str">
        <f>TEXT(Table1_2[[#This Row],[Ship Date]],"YYYY")</f>
        <v>2023</v>
      </c>
      <c r="U55" s="1">
        <f>MONTH(1&amp;Table1_2[[#This Row],[Month]])</f>
        <v>3</v>
      </c>
    </row>
    <row r="56" spans="1:21" x14ac:dyDescent="0.3">
      <c r="A56" t="s">
        <v>69</v>
      </c>
      <c r="B56" s="2">
        <v>44719</v>
      </c>
      <c r="C56" s="2">
        <v>44488</v>
      </c>
      <c r="D56" t="s">
        <v>350</v>
      </c>
      <c r="E56" t="s">
        <v>359</v>
      </c>
      <c r="F56" t="s">
        <v>362</v>
      </c>
      <c r="G56" s="1" t="s">
        <v>371</v>
      </c>
      <c r="H56" s="1" t="s">
        <v>376</v>
      </c>
      <c r="I56" s="1" t="s">
        <v>372</v>
      </c>
      <c r="J56" t="s">
        <v>388</v>
      </c>
      <c r="K56" t="str">
        <f ca="1">TRIM(Table1_2[[#This Row],[Sub-Category]])</f>
        <v>Chairs</v>
      </c>
      <c r="L56" s="5">
        <v>878</v>
      </c>
      <c r="M56">
        <v>8</v>
      </c>
      <c r="N56" s="17">
        <v>0.01</v>
      </c>
      <c r="O56" s="5">
        <v>596.07000000000005</v>
      </c>
      <c r="P56" s="8">
        <f>IF(Table1_2[[#This Row],[Sales]]=0, 0,Table1_2[[#This Row],[Profit]]/Table1_2[[#This Row],[Sales]])</f>
        <v>0.67889521640091122</v>
      </c>
      <c r="Q56" s="7">
        <f>Table1_2[[#This Row],[Sales]]/Table1_2[[#This Row],[Quantity]]</f>
        <v>109.75</v>
      </c>
      <c r="R56" t="str">
        <f>IF(Table1_2[[#This Row],[Profit]]&gt;0, "YES", "NO")</f>
        <v>YES</v>
      </c>
      <c r="S56" t="str">
        <f>TEXT(Table1_2[[#This Row],[Order Date]], "MMM")</f>
        <v>Jun</v>
      </c>
      <c r="T56" t="str">
        <f>TEXT(Table1_2[[#This Row],[Ship Date]],"YYYY")</f>
        <v>2021</v>
      </c>
      <c r="U56" s="1">
        <f>MONTH(1&amp;Table1_2[[#This Row],[Month]])</f>
        <v>6</v>
      </c>
    </row>
    <row r="57" spans="1:21" x14ac:dyDescent="0.3">
      <c r="A57" t="s">
        <v>70</v>
      </c>
      <c r="B57" s="2">
        <v>44977</v>
      </c>
      <c r="C57" s="2">
        <v>45265</v>
      </c>
      <c r="D57" t="s">
        <v>350</v>
      </c>
      <c r="E57" t="s">
        <v>357</v>
      </c>
      <c r="F57" t="s">
        <v>363</v>
      </c>
      <c r="G57" s="1" t="s">
        <v>370</v>
      </c>
      <c r="H57" s="1" t="s">
        <v>414</v>
      </c>
      <c r="I57" s="1" t="s">
        <v>383</v>
      </c>
      <c r="J57" t="s">
        <v>388</v>
      </c>
      <c r="K57" t="str">
        <f ca="1">TRIM(Table1_2[[#This Row],[Sub-Category]])</f>
        <v>Accessories</v>
      </c>
      <c r="L57" s="5">
        <v>1162</v>
      </c>
      <c r="M57">
        <v>2</v>
      </c>
      <c r="N57" s="17">
        <v>0.6</v>
      </c>
      <c r="O57" s="5">
        <v>-101.72</v>
      </c>
      <c r="P57" s="8">
        <f>IF(Table1_2[[#This Row],[Sales]]=0, 0,Table1_2[[#This Row],[Profit]]/Table1_2[[#This Row],[Sales]])</f>
        <v>-8.7538726333907052E-2</v>
      </c>
      <c r="Q57" s="7">
        <f>Table1_2[[#This Row],[Sales]]/Table1_2[[#This Row],[Quantity]]</f>
        <v>581</v>
      </c>
      <c r="R57" t="str">
        <f>IF(Table1_2[[#This Row],[Profit]]&gt;0, "YES", "NO")</f>
        <v>NO</v>
      </c>
      <c r="S57" t="str">
        <f>TEXT(Table1_2[[#This Row],[Order Date]], "MMM")</f>
        <v>Feb</v>
      </c>
      <c r="T57" t="str">
        <f>TEXT(Table1_2[[#This Row],[Ship Date]],"YYYY")</f>
        <v>2023</v>
      </c>
      <c r="U57" s="1">
        <f>MONTH(1&amp;Table1_2[[#This Row],[Month]])</f>
        <v>2</v>
      </c>
    </row>
    <row r="58" spans="1:21" x14ac:dyDescent="0.3">
      <c r="A58" t="s">
        <v>71</v>
      </c>
      <c r="B58" s="2">
        <v>44664</v>
      </c>
      <c r="C58" s="2">
        <v>44768</v>
      </c>
      <c r="D58" t="s">
        <v>350</v>
      </c>
      <c r="E58" t="s">
        <v>355</v>
      </c>
      <c r="F58" t="s">
        <v>362</v>
      </c>
      <c r="G58" s="1" t="s">
        <v>371</v>
      </c>
      <c r="H58" s="1" t="s">
        <v>380</v>
      </c>
      <c r="I58" s="1" t="s">
        <v>384</v>
      </c>
      <c r="J58" t="s">
        <v>388</v>
      </c>
      <c r="K58" t="str">
        <f ca="1">TRIM(Table1_2[[#This Row],[Sub-Category]])</f>
        <v>Accessories</v>
      </c>
      <c r="L58" s="5">
        <v>1039.8399999999999</v>
      </c>
      <c r="M58">
        <v>9</v>
      </c>
      <c r="N58" s="17">
        <v>0.53</v>
      </c>
      <c r="O58" s="5">
        <v>777.01</v>
      </c>
      <c r="P58" s="8">
        <f>IF(Table1_2[[#This Row],[Sales]]=0, 0,Table1_2[[#This Row],[Profit]]/Table1_2[[#This Row],[Sales]])</f>
        <v>0.74723995999384529</v>
      </c>
      <c r="Q58" s="7">
        <f>Table1_2[[#This Row],[Sales]]/Table1_2[[#This Row],[Quantity]]</f>
        <v>115.53777777777776</v>
      </c>
      <c r="R58" t="str">
        <f>IF(Table1_2[[#This Row],[Profit]]&gt;0, "YES", "NO")</f>
        <v>YES</v>
      </c>
      <c r="S58" t="str">
        <f>TEXT(Table1_2[[#This Row],[Order Date]], "MMM")</f>
        <v>Apr</v>
      </c>
      <c r="T58" t="str">
        <f>TEXT(Table1_2[[#This Row],[Ship Date]],"YYYY")</f>
        <v>2022</v>
      </c>
      <c r="U58" s="1">
        <f>MONTH(1&amp;Table1_2[[#This Row],[Month]])</f>
        <v>4</v>
      </c>
    </row>
    <row r="59" spans="1:21" x14ac:dyDescent="0.3">
      <c r="A59" t="s">
        <v>72</v>
      </c>
      <c r="B59" s="2">
        <v>45038</v>
      </c>
      <c r="C59" s="2">
        <v>44365</v>
      </c>
      <c r="D59" t="s">
        <v>352</v>
      </c>
      <c r="E59" t="s">
        <v>360</v>
      </c>
      <c r="F59" t="s">
        <v>364</v>
      </c>
      <c r="G59" s="1" t="s">
        <v>368</v>
      </c>
      <c r="H59" s="1" t="s">
        <v>380</v>
      </c>
      <c r="I59" s="1" t="s">
        <v>385</v>
      </c>
      <c r="J59" t="s">
        <v>386</v>
      </c>
      <c r="K59" t="str">
        <f ca="1">TRIM(Table1_2[[#This Row],[Sub-Category]])</f>
        <v>NA</v>
      </c>
      <c r="L59" s="5">
        <v>1365.12</v>
      </c>
      <c r="M59">
        <v>7</v>
      </c>
      <c r="N59" s="17">
        <v>0.55000000000000004</v>
      </c>
      <c r="O59" s="5">
        <v>-185.25</v>
      </c>
      <c r="P59" s="8">
        <f>IF(Table1_2[[#This Row],[Sales]]=0, 0,Table1_2[[#This Row],[Profit]]/Table1_2[[#This Row],[Sales]])</f>
        <v>-0.13570235583684953</v>
      </c>
      <c r="Q59" s="7">
        <f>Table1_2[[#This Row],[Sales]]/Table1_2[[#This Row],[Quantity]]</f>
        <v>195.01714285714283</v>
      </c>
      <c r="R59" t="str">
        <f>IF(Table1_2[[#This Row],[Profit]]&gt;0, "YES", "NO")</f>
        <v>NO</v>
      </c>
      <c r="S59" t="str">
        <f>TEXT(Table1_2[[#This Row],[Order Date]], "MMM")</f>
        <v>Apr</v>
      </c>
      <c r="T59" t="str">
        <f>TEXT(Table1_2[[#This Row],[Ship Date]],"YYYY")</f>
        <v>2021</v>
      </c>
      <c r="U59" s="1">
        <f>MONTH(1&amp;Table1_2[[#This Row],[Month]])</f>
        <v>4</v>
      </c>
    </row>
    <row r="60" spans="1:21" x14ac:dyDescent="0.3">
      <c r="A60" t="s">
        <v>73</v>
      </c>
      <c r="B60" s="2">
        <v>44726</v>
      </c>
      <c r="C60" s="2">
        <v>44563</v>
      </c>
      <c r="D60" t="s">
        <v>350</v>
      </c>
      <c r="E60" t="s">
        <v>354</v>
      </c>
      <c r="F60" t="s">
        <v>363</v>
      </c>
      <c r="G60" s="1" t="s">
        <v>365</v>
      </c>
      <c r="H60" s="1" t="s">
        <v>377</v>
      </c>
      <c r="I60" s="1" t="s">
        <v>385</v>
      </c>
      <c r="J60" t="s">
        <v>372</v>
      </c>
      <c r="K60" t="str">
        <f ca="1">TRIM(Table1_2[[#This Row],[Sub-Category]])</f>
        <v>Phones</v>
      </c>
      <c r="L60" s="5">
        <v>1020.34</v>
      </c>
      <c r="M60">
        <v>1</v>
      </c>
      <c r="N60" s="17">
        <v>0.17</v>
      </c>
      <c r="O60" s="5">
        <v>397</v>
      </c>
      <c r="P60" s="8">
        <f>IF(Table1_2[[#This Row],[Sales]]=0, 0,Table1_2[[#This Row],[Profit]]/Table1_2[[#This Row],[Sales]])</f>
        <v>0.38908599094419505</v>
      </c>
      <c r="Q60" s="7">
        <f>Table1_2[[#This Row],[Sales]]/Table1_2[[#This Row],[Quantity]]</f>
        <v>1020.34</v>
      </c>
      <c r="R60" t="str">
        <f>IF(Table1_2[[#This Row],[Profit]]&gt;0, "YES", "NO")</f>
        <v>YES</v>
      </c>
      <c r="S60" t="str">
        <f>TEXT(Table1_2[[#This Row],[Order Date]], "MMM")</f>
        <v>Jun</v>
      </c>
      <c r="T60" t="str">
        <f>TEXT(Table1_2[[#This Row],[Ship Date]],"YYYY")</f>
        <v>2022</v>
      </c>
      <c r="U60" s="1">
        <f>MONTH(1&amp;Table1_2[[#This Row],[Month]])</f>
        <v>6</v>
      </c>
    </row>
    <row r="61" spans="1:21" x14ac:dyDescent="0.3">
      <c r="A61" t="s">
        <v>74</v>
      </c>
      <c r="B61" s="2">
        <v>44457</v>
      </c>
      <c r="C61" s="2">
        <v>44205</v>
      </c>
      <c r="D61" t="s">
        <v>350</v>
      </c>
      <c r="E61" t="s">
        <v>356</v>
      </c>
      <c r="F61" t="s">
        <v>364</v>
      </c>
      <c r="G61" s="1" t="s">
        <v>370</v>
      </c>
      <c r="H61" s="1" t="s">
        <v>378</v>
      </c>
      <c r="I61" s="1" t="s">
        <v>382</v>
      </c>
      <c r="J61" t="s">
        <v>386</v>
      </c>
      <c r="K61" t="str">
        <f ca="1">TRIM(Table1_2[[#This Row],[Sub-Category]])</f>
        <v>NA</v>
      </c>
      <c r="L61" s="5">
        <v>1882</v>
      </c>
      <c r="M61">
        <v>2</v>
      </c>
      <c r="N61" s="17">
        <v>0.13</v>
      </c>
      <c r="O61" s="5">
        <v>592.51</v>
      </c>
      <c r="P61" s="8">
        <f>IF(Table1_2[[#This Row],[Sales]]=0, 0,Table1_2[[#This Row],[Profit]]/Table1_2[[#This Row],[Sales]])</f>
        <v>0.31482996811902231</v>
      </c>
      <c r="Q61" s="7">
        <f>Table1_2[[#This Row],[Sales]]/Table1_2[[#This Row],[Quantity]]</f>
        <v>941</v>
      </c>
      <c r="R61" t="str">
        <f>IF(Table1_2[[#This Row],[Profit]]&gt;0, "YES", "NO")</f>
        <v>YES</v>
      </c>
      <c r="S61" t="str">
        <f>TEXT(Table1_2[[#This Row],[Order Date]], "MMM")</f>
        <v>Sep</v>
      </c>
      <c r="T61" t="str">
        <f>TEXT(Table1_2[[#This Row],[Ship Date]],"YYYY")</f>
        <v>2021</v>
      </c>
      <c r="U61" s="1">
        <f>MONTH(1&amp;Table1_2[[#This Row],[Month]])</f>
        <v>9</v>
      </c>
    </row>
    <row r="62" spans="1:21" x14ac:dyDescent="0.3">
      <c r="A62" t="s">
        <v>75</v>
      </c>
      <c r="B62" s="2">
        <v>44426</v>
      </c>
      <c r="C62" s="2">
        <v>44237</v>
      </c>
      <c r="D62" t="s">
        <v>349</v>
      </c>
      <c r="E62" t="s">
        <v>355</v>
      </c>
      <c r="F62" t="s">
        <v>361</v>
      </c>
      <c r="G62" s="1" t="s">
        <v>415</v>
      </c>
      <c r="H62" s="1" t="s">
        <v>415</v>
      </c>
      <c r="I62" s="1" t="s">
        <v>385</v>
      </c>
      <c r="J62" t="s">
        <v>387</v>
      </c>
      <c r="K62" t="str">
        <f ca="1">TRIM(Table1_2[[#This Row],[Sub-Category]])</f>
        <v>Chairs</v>
      </c>
      <c r="L62" s="5">
        <v>861.78</v>
      </c>
      <c r="M62">
        <v>9</v>
      </c>
      <c r="N62" s="17">
        <v>0.26</v>
      </c>
      <c r="O62" s="5">
        <v>132</v>
      </c>
      <c r="P62" s="8">
        <f>IF(Table1_2[[#This Row],[Sales]]=0, 0,Table1_2[[#This Row],[Profit]]/Table1_2[[#This Row],[Sales]])</f>
        <v>0.15317134303418506</v>
      </c>
      <c r="Q62" s="7">
        <f>Table1_2[[#This Row],[Sales]]/Table1_2[[#This Row],[Quantity]]</f>
        <v>95.75333333333333</v>
      </c>
      <c r="R62" t="str">
        <f>IF(Table1_2[[#This Row],[Profit]]&gt;0, "YES", "NO")</f>
        <v>YES</v>
      </c>
      <c r="S62" t="str">
        <f>TEXT(Table1_2[[#This Row],[Order Date]], "MMM")</f>
        <v>Aug</v>
      </c>
      <c r="T62" t="str">
        <f>TEXT(Table1_2[[#This Row],[Ship Date]],"YYYY")</f>
        <v>2021</v>
      </c>
      <c r="U62" s="1">
        <f>MONTH(1&amp;Table1_2[[#This Row],[Month]])</f>
        <v>8</v>
      </c>
    </row>
    <row r="63" spans="1:21" x14ac:dyDescent="0.3">
      <c r="A63" t="s">
        <v>76</v>
      </c>
      <c r="B63" s="2">
        <v>44519</v>
      </c>
      <c r="C63" s="2">
        <v>44534</v>
      </c>
      <c r="D63" t="s">
        <v>350</v>
      </c>
      <c r="E63" t="s">
        <v>354</v>
      </c>
      <c r="F63" t="s">
        <v>364</v>
      </c>
      <c r="G63" s="1" t="s">
        <v>369</v>
      </c>
      <c r="H63" s="1" t="s">
        <v>380</v>
      </c>
      <c r="I63" s="1" t="s">
        <v>372</v>
      </c>
      <c r="J63" t="s">
        <v>372</v>
      </c>
      <c r="K63" t="str">
        <f ca="1">TRIM(Table1_2[[#This Row],[Sub-Category]])</f>
        <v>Phones</v>
      </c>
      <c r="L63" s="5">
        <v>41.67</v>
      </c>
      <c r="M63">
        <v>2</v>
      </c>
      <c r="N63" s="17">
        <v>0.27</v>
      </c>
      <c r="O63" s="5">
        <v>399</v>
      </c>
      <c r="P63" s="8">
        <f>IF(Table1_2[[#This Row],[Sales]]=0, 0,Table1_2[[#This Row],[Profit]]/Table1_2[[#This Row],[Sales]])</f>
        <v>9.5752339812814977</v>
      </c>
      <c r="Q63" s="7">
        <f>Table1_2[[#This Row],[Sales]]/Table1_2[[#This Row],[Quantity]]</f>
        <v>20.835000000000001</v>
      </c>
      <c r="R63" t="str">
        <f>IF(Table1_2[[#This Row],[Profit]]&gt;0, "YES", "NO")</f>
        <v>YES</v>
      </c>
      <c r="S63" t="str">
        <f>TEXT(Table1_2[[#This Row],[Order Date]], "MMM")</f>
        <v>Nov</v>
      </c>
      <c r="T63" t="str">
        <f>TEXT(Table1_2[[#This Row],[Ship Date]],"YYYY")</f>
        <v>2021</v>
      </c>
      <c r="U63" s="1">
        <f>MONTH(1&amp;Table1_2[[#This Row],[Month]])</f>
        <v>11</v>
      </c>
    </row>
    <row r="64" spans="1:21" x14ac:dyDescent="0.3">
      <c r="A64" t="s">
        <v>77</v>
      </c>
      <c r="B64" s="2">
        <v>44794</v>
      </c>
      <c r="C64" s="2">
        <v>44652</v>
      </c>
      <c r="D64" t="s">
        <v>350</v>
      </c>
      <c r="E64" t="s">
        <v>355</v>
      </c>
      <c r="F64" t="s">
        <v>362</v>
      </c>
      <c r="G64" s="1" t="s">
        <v>369</v>
      </c>
      <c r="H64" s="1" t="s">
        <v>375</v>
      </c>
      <c r="I64" s="1" t="s">
        <v>372</v>
      </c>
      <c r="J64" t="s">
        <v>387</v>
      </c>
      <c r="K64" t="str">
        <f ca="1">TRIM(Table1_2[[#This Row],[Sub-Category]])</f>
        <v>Accessories</v>
      </c>
      <c r="L64" s="5">
        <v>480</v>
      </c>
      <c r="M64">
        <v>1</v>
      </c>
      <c r="N64" s="17">
        <v>0</v>
      </c>
      <c r="O64" s="5">
        <v>162.12</v>
      </c>
      <c r="P64" s="8">
        <f>IF(Table1_2[[#This Row],[Sales]]=0, 0,Table1_2[[#This Row],[Profit]]/Table1_2[[#This Row],[Sales]])</f>
        <v>0.33774999999999999</v>
      </c>
      <c r="Q64" s="7">
        <f>Table1_2[[#This Row],[Sales]]/Table1_2[[#This Row],[Quantity]]</f>
        <v>480</v>
      </c>
      <c r="R64" t="str">
        <f>IF(Table1_2[[#This Row],[Profit]]&gt;0, "YES", "NO")</f>
        <v>YES</v>
      </c>
      <c r="S64" t="str">
        <f>TEXT(Table1_2[[#This Row],[Order Date]], "MMM")</f>
        <v>Aug</v>
      </c>
      <c r="T64" t="str">
        <f>TEXT(Table1_2[[#This Row],[Ship Date]],"YYYY")</f>
        <v>2022</v>
      </c>
      <c r="U64" s="1">
        <f>MONTH(1&amp;Table1_2[[#This Row],[Month]])</f>
        <v>8</v>
      </c>
    </row>
    <row r="65" spans="1:21" x14ac:dyDescent="0.3">
      <c r="A65" t="s">
        <v>78</v>
      </c>
      <c r="B65" s="2">
        <v>44439</v>
      </c>
      <c r="C65" s="2">
        <v>44995</v>
      </c>
      <c r="D65" t="s">
        <v>349</v>
      </c>
      <c r="E65" t="s">
        <v>355</v>
      </c>
      <c r="F65" t="s">
        <v>361</v>
      </c>
      <c r="G65" s="1" t="s">
        <v>415</v>
      </c>
      <c r="H65" s="1" t="s">
        <v>379</v>
      </c>
      <c r="I65" s="1" t="s">
        <v>382</v>
      </c>
      <c r="J65" t="s">
        <v>388</v>
      </c>
      <c r="K65" t="str">
        <f ca="1">TRIM(Table1_2[[#This Row],[Sub-Category]])</f>
        <v>NA</v>
      </c>
      <c r="L65" s="5">
        <v>1006.21</v>
      </c>
      <c r="M65">
        <v>5</v>
      </c>
      <c r="N65" s="17">
        <v>0.47</v>
      </c>
      <c r="O65" s="5">
        <v>-139.38999999999999</v>
      </c>
      <c r="P65" s="8">
        <f>IF(Table1_2[[#This Row],[Sales]]=0, 0,Table1_2[[#This Row],[Profit]]/Table1_2[[#This Row],[Sales]])</f>
        <v>-0.1385297303743751</v>
      </c>
      <c r="Q65" s="7">
        <f>Table1_2[[#This Row],[Sales]]/Table1_2[[#This Row],[Quantity]]</f>
        <v>201.24200000000002</v>
      </c>
      <c r="R65" t="str">
        <f>IF(Table1_2[[#This Row],[Profit]]&gt;0, "YES", "NO")</f>
        <v>NO</v>
      </c>
      <c r="S65" t="str">
        <f>TEXT(Table1_2[[#This Row],[Order Date]], "MMM")</f>
        <v>Aug</v>
      </c>
      <c r="T65" t="str">
        <f>TEXT(Table1_2[[#This Row],[Ship Date]],"YYYY")</f>
        <v>2023</v>
      </c>
      <c r="U65" s="1">
        <f>MONTH(1&amp;Table1_2[[#This Row],[Month]])</f>
        <v>8</v>
      </c>
    </row>
    <row r="66" spans="1:21" x14ac:dyDescent="0.3">
      <c r="A66" t="s">
        <v>79</v>
      </c>
      <c r="B66" s="2">
        <v>45111</v>
      </c>
      <c r="C66" s="2">
        <v>44332</v>
      </c>
      <c r="D66" t="s">
        <v>350</v>
      </c>
      <c r="E66" t="s">
        <v>355</v>
      </c>
      <c r="F66" t="s">
        <v>362</v>
      </c>
      <c r="G66" s="1" t="s">
        <v>366</v>
      </c>
      <c r="H66" s="1" t="s">
        <v>380</v>
      </c>
      <c r="I66" s="1" t="s">
        <v>381</v>
      </c>
      <c r="J66" t="s">
        <v>386</v>
      </c>
      <c r="K66" t="str">
        <f ca="1">TRIM(Table1_2[[#This Row],[Sub-Category]])</f>
        <v>Accessories</v>
      </c>
      <c r="L66" s="5">
        <v>1085.74</v>
      </c>
      <c r="M66">
        <v>5</v>
      </c>
      <c r="N66" s="17">
        <v>0.6</v>
      </c>
      <c r="O66" s="5">
        <v>-191.54</v>
      </c>
      <c r="P66" s="8">
        <f>IF(Table1_2[[#This Row],[Sales]]=0, 0,Table1_2[[#This Row],[Profit]]/Table1_2[[#This Row],[Sales]])</f>
        <v>-0.17641424282056475</v>
      </c>
      <c r="Q66" s="7">
        <f>Table1_2[[#This Row],[Sales]]/Table1_2[[#This Row],[Quantity]]</f>
        <v>217.148</v>
      </c>
      <c r="R66" t="str">
        <f>IF(Table1_2[[#This Row],[Profit]]&gt;0, "YES", "NO")</f>
        <v>NO</v>
      </c>
      <c r="S66" t="str">
        <f>TEXT(Table1_2[[#This Row],[Order Date]], "MMM")</f>
        <v>Jul</v>
      </c>
      <c r="T66" t="str">
        <f>TEXT(Table1_2[[#This Row],[Ship Date]],"YYYY")</f>
        <v>2021</v>
      </c>
      <c r="U66" s="1">
        <f>MONTH(1&amp;Table1_2[[#This Row],[Month]])</f>
        <v>7</v>
      </c>
    </row>
    <row r="67" spans="1:21" x14ac:dyDescent="0.3">
      <c r="A67" t="s">
        <v>80</v>
      </c>
      <c r="B67" s="2">
        <v>44676</v>
      </c>
      <c r="C67" s="2">
        <v>45037</v>
      </c>
      <c r="D67" t="s">
        <v>349</v>
      </c>
      <c r="E67" t="s">
        <v>355</v>
      </c>
      <c r="F67" t="s">
        <v>364</v>
      </c>
      <c r="G67" s="1" t="s">
        <v>370</v>
      </c>
      <c r="H67" s="1" t="s">
        <v>378</v>
      </c>
      <c r="I67" s="1" t="s">
        <v>381</v>
      </c>
      <c r="J67" t="s">
        <v>386</v>
      </c>
      <c r="K67" t="str">
        <f ca="1">TRIM(Table1_2[[#This Row],[Sub-Category]])</f>
        <v>NA</v>
      </c>
      <c r="L67" s="5">
        <v>1109</v>
      </c>
      <c r="M67">
        <v>6</v>
      </c>
      <c r="N67" s="17">
        <v>0.32</v>
      </c>
      <c r="O67" s="5">
        <v>-105.14</v>
      </c>
      <c r="P67" s="8">
        <f>IF(Table1_2[[#This Row],[Sales]]=0, 0,Table1_2[[#This Row],[Profit]]/Table1_2[[#This Row],[Sales]])</f>
        <v>-9.4806131650135253E-2</v>
      </c>
      <c r="Q67" s="7">
        <f>Table1_2[[#This Row],[Sales]]/Table1_2[[#This Row],[Quantity]]</f>
        <v>184.83333333333334</v>
      </c>
      <c r="R67" t="str">
        <f>IF(Table1_2[[#This Row],[Profit]]&gt;0, "YES", "NO")</f>
        <v>NO</v>
      </c>
      <c r="S67" t="str">
        <f>TEXT(Table1_2[[#This Row],[Order Date]], "MMM")</f>
        <v>Apr</v>
      </c>
      <c r="T67" t="str">
        <f>TEXT(Table1_2[[#This Row],[Ship Date]],"YYYY")</f>
        <v>2023</v>
      </c>
      <c r="U67" s="1">
        <f>MONTH(1&amp;Table1_2[[#This Row],[Month]])</f>
        <v>4</v>
      </c>
    </row>
    <row r="68" spans="1:21" x14ac:dyDescent="0.3">
      <c r="A68" t="s">
        <v>81</v>
      </c>
      <c r="B68" s="2">
        <v>45060</v>
      </c>
      <c r="C68" s="2">
        <v>44432</v>
      </c>
      <c r="D68" t="s">
        <v>351</v>
      </c>
      <c r="E68" t="s">
        <v>353</v>
      </c>
      <c r="F68" t="s">
        <v>364</v>
      </c>
      <c r="G68" s="1" t="s">
        <v>368</v>
      </c>
      <c r="H68" s="1" t="s">
        <v>415</v>
      </c>
      <c r="I68" s="1" t="s">
        <v>381</v>
      </c>
      <c r="J68" t="s">
        <v>388</v>
      </c>
      <c r="K68" t="str">
        <f ca="1">TRIM(Table1_2[[#This Row],[Sub-Category]])</f>
        <v>NA</v>
      </c>
      <c r="L68" s="5">
        <v>1431.96</v>
      </c>
      <c r="M68">
        <v>6</v>
      </c>
      <c r="N68" s="17">
        <v>0.23</v>
      </c>
      <c r="O68" s="5">
        <v>-102</v>
      </c>
      <c r="P68" s="8">
        <f>IF(Table1_2[[#This Row],[Sales]]=0, 0,Table1_2[[#This Row],[Profit]]/Table1_2[[#This Row],[Sales]])</f>
        <v>-7.1231039973183613E-2</v>
      </c>
      <c r="Q68" s="7">
        <f>Table1_2[[#This Row],[Sales]]/Table1_2[[#This Row],[Quantity]]</f>
        <v>238.66</v>
      </c>
      <c r="R68" t="str">
        <f>IF(Table1_2[[#This Row],[Profit]]&gt;0, "YES", "NO")</f>
        <v>NO</v>
      </c>
      <c r="S68" t="str">
        <f>TEXT(Table1_2[[#This Row],[Order Date]], "MMM")</f>
        <v>May</v>
      </c>
      <c r="T68" t="str">
        <f>TEXT(Table1_2[[#This Row],[Ship Date]],"YYYY")</f>
        <v>2021</v>
      </c>
      <c r="U68" s="1">
        <f>MONTH(1&amp;Table1_2[[#This Row],[Month]])</f>
        <v>5</v>
      </c>
    </row>
    <row r="69" spans="1:21" x14ac:dyDescent="0.3">
      <c r="A69" t="s">
        <v>82</v>
      </c>
      <c r="B69" s="2">
        <v>44880</v>
      </c>
      <c r="C69" s="2">
        <v>44336</v>
      </c>
      <c r="D69" t="s">
        <v>349</v>
      </c>
      <c r="E69" t="s">
        <v>360</v>
      </c>
      <c r="F69" t="s">
        <v>364</v>
      </c>
      <c r="G69" s="1" t="s">
        <v>373</v>
      </c>
      <c r="H69" s="1" t="s">
        <v>374</v>
      </c>
      <c r="I69" s="1" t="s">
        <v>372</v>
      </c>
      <c r="J69" t="s">
        <v>372</v>
      </c>
      <c r="K69" t="str">
        <f ca="1">TRIM(Table1_2[[#This Row],[Sub-Category]])</f>
        <v>Chairs</v>
      </c>
      <c r="L69" s="5">
        <v>556.54999999999995</v>
      </c>
      <c r="M69">
        <v>9</v>
      </c>
      <c r="N69" s="17">
        <v>0.24</v>
      </c>
      <c r="O69" s="5">
        <v>411</v>
      </c>
      <c r="P69" s="8">
        <f>IF(Table1_2[[#This Row],[Sales]]=0, 0,Table1_2[[#This Row],[Profit]]/Table1_2[[#This Row],[Sales]])</f>
        <v>0.73847812415775771</v>
      </c>
      <c r="Q69" s="7">
        <f>Table1_2[[#This Row],[Sales]]/Table1_2[[#This Row],[Quantity]]</f>
        <v>61.838888888888881</v>
      </c>
      <c r="R69" t="str">
        <f>IF(Table1_2[[#This Row],[Profit]]&gt;0, "YES", "NO")</f>
        <v>YES</v>
      </c>
      <c r="S69" t="str">
        <f>TEXT(Table1_2[[#This Row],[Order Date]], "MMM")</f>
        <v>Nov</v>
      </c>
      <c r="T69" t="str">
        <f>TEXT(Table1_2[[#This Row],[Ship Date]],"YYYY")</f>
        <v>2021</v>
      </c>
      <c r="U69" s="1">
        <f>MONTH(1&amp;Table1_2[[#This Row],[Month]])</f>
        <v>11</v>
      </c>
    </row>
    <row r="70" spans="1:21" x14ac:dyDescent="0.3">
      <c r="A70" t="s">
        <v>83</v>
      </c>
      <c r="B70" s="2">
        <v>44530</v>
      </c>
      <c r="C70" s="2">
        <v>44604</v>
      </c>
      <c r="D70" t="s">
        <v>351</v>
      </c>
      <c r="E70" t="s">
        <v>360</v>
      </c>
      <c r="F70" t="s">
        <v>363</v>
      </c>
      <c r="G70" s="1" t="s">
        <v>366</v>
      </c>
      <c r="H70" s="1" t="s">
        <v>378</v>
      </c>
      <c r="I70" s="1" t="s">
        <v>381</v>
      </c>
      <c r="J70" t="s">
        <v>387</v>
      </c>
      <c r="K70" t="str">
        <f ca="1">TRIM(Table1_2[[#This Row],[Sub-Category]])</f>
        <v>NA</v>
      </c>
      <c r="L70" s="5">
        <v>1333.16</v>
      </c>
      <c r="M70">
        <v>7</v>
      </c>
      <c r="N70" s="17">
        <v>0.06</v>
      </c>
      <c r="O70" s="5">
        <v>326</v>
      </c>
      <c r="P70" s="8">
        <f>IF(Table1_2[[#This Row],[Sales]]=0, 0,Table1_2[[#This Row],[Profit]]/Table1_2[[#This Row],[Sales]])</f>
        <v>0.24453178913258722</v>
      </c>
      <c r="Q70" s="7">
        <f>Table1_2[[#This Row],[Sales]]/Table1_2[[#This Row],[Quantity]]</f>
        <v>190.45142857142858</v>
      </c>
      <c r="R70" t="str">
        <f>IF(Table1_2[[#This Row],[Profit]]&gt;0, "YES", "NO")</f>
        <v>YES</v>
      </c>
      <c r="S70" t="str">
        <f>TEXT(Table1_2[[#This Row],[Order Date]], "MMM")</f>
        <v>Nov</v>
      </c>
      <c r="T70" t="str">
        <f>TEXT(Table1_2[[#This Row],[Ship Date]],"YYYY")</f>
        <v>2022</v>
      </c>
      <c r="U70" s="1">
        <f>MONTH(1&amp;Table1_2[[#This Row],[Month]])</f>
        <v>11</v>
      </c>
    </row>
    <row r="71" spans="1:21" x14ac:dyDescent="0.3">
      <c r="A71" t="s">
        <v>84</v>
      </c>
      <c r="B71" s="2">
        <v>44425</v>
      </c>
      <c r="C71" s="2">
        <v>44972</v>
      </c>
      <c r="D71" t="s">
        <v>351</v>
      </c>
      <c r="E71" t="s">
        <v>360</v>
      </c>
      <c r="F71" t="s">
        <v>364</v>
      </c>
      <c r="G71" s="1" t="s">
        <v>415</v>
      </c>
      <c r="H71" s="1" t="s">
        <v>375</v>
      </c>
      <c r="I71" s="1" t="s">
        <v>385</v>
      </c>
      <c r="J71" t="s">
        <v>387</v>
      </c>
      <c r="K71" t="str">
        <f ca="1">TRIM(Table1_2[[#This Row],[Sub-Category]])</f>
        <v>NA</v>
      </c>
      <c r="L71" s="5">
        <v>1411.02</v>
      </c>
      <c r="M71">
        <v>1</v>
      </c>
      <c r="N71" s="17">
        <v>0.16</v>
      </c>
      <c r="O71" s="5">
        <v>255.46</v>
      </c>
      <c r="P71" s="8">
        <f>IF(Table1_2[[#This Row],[Sales]]=0, 0,Table1_2[[#This Row],[Profit]]/Table1_2[[#This Row],[Sales]])</f>
        <v>0.18104633527519101</v>
      </c>
      <c r="Q71" s="7">
        <f>Table1_2[[#This Row],[Sales]]/Table1_2[[#This Row],[Quantity]]</f>
        <v>1411.02</v>
      </c>
      <c r="R71" t="str">
        <f>IF(Table1_2[[#This Row],[Profit]]&gt;0, "YES", "NO")</f>
        <v>YES</v>
      </c>
      <c r="S71" t="str">
        <f>TEXT(Table1_2[[#This Row],[Order Date]], "MMM")</f>
        <v>Aug</v>
      </c>
      <c r="T71" t="str">
        <f>TEXT(Table1_2[[#This Row],[Ship Date]],"YYYY")</f>
        <v>2023</v>
      </c>
      <c r="U71" s="1">
        <f>MONTH(1&amp;Table1_2[[#This Row],[Month]])</f>
        <v>8</v>
      </c>
    </row>
    <row r="72" spans="1:21" x14ac:dyDescent="0.3">
      <c r="A72" t="s">
        <v>85</v>
      </c>
      <c r="B72" s="2">
        <v>44940</v>
      </c>
      <c r="C72" s="2">
        <v>44802</v>
      </c>
      <c r="D72" t="s">
        <v>349</v>
      </c>
      <c r="E72" t="s">
        <v>356</v>
      </c>
      <c r="F72" t="s">
        <v>364</v>
      </c>
      <c r="G72" s="1" t="s">
        <v>368</v>
      </c>
      <c r="H72" s="1" t="s">
        <v>414</v>
      </c>
      <c r="I72" s="1" t="s">
        <v>382</v>
      </c>
      <c r="J72" t="s">
        <v>387</v>
      </c>
      <c r="K72" t="str">
        <f ca="1">TRIM(Table1_2[[#This Row],[Sub-Category]])</f>
        <v>Phones</v>
      </c>
      <c r="L72" s="5">
        <v>828.45</v>
      </c>
      <c r="M72">
        <v>1</v>
      </c>
      <c r="N72" s="17">
        <v>0.3</v>
      </c>
      <c r="O72" s="5">
        <v>491.92</v>
      </c>
      <c r="P72" s="8">
        <f>IF(Table1_2[[#This Row],[Sales]]=0, 0,Table1_2[[#This Row],[Profit]]/Table1_2[[#This Row],[Sales]])</f>
        <v>0.5937835717303398</v>
      </c>
      <c r="Q72" s="7">
        <f>Table1_2[[#This Row],[Sales]]/Table1_2[[#This Row],[Quantity]]</f>
        <v>828.45</v>
      </c>
      <c r="R72" t="str">
        <f>IF(Table1_2[[#This Row],[Profit]]&gt;0, "YES", "NO")</f>
        <v>YES</v>
      </c>
      <c r="S72" t="str">
        <f>TEXT(Table1_2[[#This Row],[Order Date]], "MMM")</f>
        <v>Jan</v>
      </c>
      <c r="T72" t="str">
        <f>TEXT(Table1_2[[#This Row],[Ship Date]],"YYYY")</f>
        <v>2022</v>
      </c>
      <c r="U72" s="1">
        <f>MONTH(1&amp;Table1_2[[#This Row],[Month]])</f>
        <v>1</v>
      </c>
    </row>
    <row r="73" spans="1:21" x14ac:dyDescent="0.3">
      <c r="A73" t="s">
        <v>86</v>
      </c>
      <c r="B73" s="2">
        <v>44527</v>
      </c>
      <c r="C73" s="2">
        <v>44313</v>
      </c>
      <c r="D73" t="s">
        <v>352</v>
      </c>
      <c r="E73" t="s">
        <v>359</v>
      </c>
      <c r="F73" t="s">
        <v>361</v>
      </c>
      <c r="G73" s="1" t="s">
        <v>367</v>
      </c>
      <c r="H73" s="1" t="s">
        <v>378</v>
      </c>
      <c r="I73" s="1" t="s">
        <v>385</v>
      </c>
      <c r="J73" t="s">
        <v>386</v>
      </c>
      <c r="K73" t="str">
        <f ca="1">TRIM(Table1_2[[#This Row],[Sub-Category]])</f>
        <v>Paper</v>
      </c>
      <c r="L73" s="5">
        <v>810.32</v>
      </c>
      <c r="M73">
        <v>1</v>
      </c>
      <c r="N73" s="17">
        <v>0.26</v>
      </c>
      <c r="O73" s="5">
        <v>-183</v>
      </c>
      <c r="P73" s="8">
        <f>IF(Table1_2[[#This Row],[Sales]]=0, 0,Table1_2[[#This Row],[Profit]]/Table1_2[[#This Row],[Sales]])</f>
        <v>-0.22583670648632637</v>
      </c>
      <c r="Q73" s="7">
        <f>Table1_2[[#This Row],[Sales]]/Table1_2[[#This Row],[Quantity]]</f>
        <v>810.32</v>
      </c>
      <c r="R73" t="str">
        <f>IF(Table1_2[[#This Row],[Profit]]&gt;0, "YES", "NO")</f>
        <v>NO</v>
      </c>
      <c r="S73" t="str">
        <f>TEXT(Table1_2[[#This Row],[Order Date]], "MMM")</f>
        <v>Nov</v>
      </c>
      <c r="T73" t="str">
        <f>TEXT(Table1_2[[#This Row],[Ship Date]],"YYYY")</f>
        <v>2021</v>
      </c>
      <c r="U73" s="1">
        <f>MONTH(1&amp;Table1_2[[#This Row],[Month]])</f>
        <v>11</v>
      </c>
    </row>
    <row r="74" spans="1:21" x14ac:dyDescent="0.3">
      <c r="A74" t="s">
        <v>87</v>
      </c>
      <c r="B74" s="2">
        <v>44443</v>
      </c>
      <c r="C74" s="2">
        <v>44313</v>
      </c>
      <c r="D74" t="s">
        <v>349</v>
      </c>
      <c r="E74" t="s">
        <v>353</v>
      </c>
      <c r="F74" t="s">
        <v>364</v>
      </c>
      <c r="G74" s="1" t="s">
        <v>373</v>
      </c>
      <c r="H74" s="1" t="s">
        <v>374</v>
      </c>
      <c r="I74" s="1" t="s">
        <v>381</v>
      </c>
      <c r="J74" t="s">
        <v>386</v>
      </c>
      <c r="K74" t="str">
        <f ca="1">TRIM(Table1_2[[#This Row],[Sub-Category]])</f>
        <v>Binders</v>
      </c>
      <c r="L74" s="5">
        <v>366.06</v>
      </c>
      <c r="M74">
        <v>4</v>
      </c>
      <c r="N74" s="17">
        <v>0.33</v>
      </c>
      <c r="O74" s="5">
        <v>71</v>
      </c>
      <c r="P74" s="8">
        <f>IF(Table1_2[[#This Row],[Sales]]=0, 0,Table1_2[[#This Row],[Profit]]/Table1_2[[#This Row],[Sales]])</f>
        <v>0.19395727476369995</v>
      </c>
      <c r="Q74" s="7">
        <f>Table1_2[[#This Row],[Sales]]/Table1_2[[#This Row],[Quantity]]</f>
        <v>91.515000000000001</v>
      </c>
      <c r="R74" t="str">
        <f>IF(Table1_2[[#This Row],[Profit]]&gt;0, "YES", "NO")</f>
        <v>YES</v>
      </c>
      <c r="S74" t="str">
        <f>TEXT(Table1_2[[#This Row],[Order Date]], "MMM")</f>
        <v>Sep</v>
      </c>
      <c r="T74" t="str">
        <f>TEXT(Table1_2[[#This Row],[Ship Date]],"YYYY")</f>
        <v>2021</v>
      </c>
      <c r="U74" s="1">
        <f>MONTH(1&amp;Table1_2[[#This Row],[Month]])</f>
        <v>9</v>
      </c>
    </row>
    <row r="75" spans="1:21" x14ac:dyDescent="0.3">
      <c r="A75" t="s">
        <v>88</v>
      </c>
      <c r="B75" s="2">
        <v>45127</v>
      </c>
      <c r="C75" s="2">
        <v>44588</v>
      </c>
      <c r="D75" t="s">
        <v>349</v>
      </c>
      <c r="E75" t="s">
        <v>356</v>
      </c>
      <c r="F75" t="s">
        <v>363</v>
      </c>
      <c r="G75" s="1" t="s">
        <v>373</v>
      </c>
      <c r="H75" s="1" t="s">
        <v>379</v>
      </c>
      <c r="I75" s="1" t="s">
        <v>383</v>
      </c>
      <c r="J75" t="s">
        <v>387</v>
      </c>
      <c r="K75" t="str">
        <f ca="1">TRIM(Table1_2[[#This Row],[Sub-Category]])</f>
        <v>Accessories</v>
      </c>
      <c r="L75" s="5">
        <v>833.83</v>
      </c>
      <c r="M75">
        <v>4</v>
      </c>
      <c r="N75" s="17">
        <v>0.51</v>
      </c>
      <c r="O75" s="5">
        <v>577.39</v>
      </c>
      <c r="P75" s="8">
        <f>IF(Table1_2[[#This Row],[Sales]]=0, 0,Table1_2[[#This Row],[Profit]]/Table1_2[[#This Row],[Sales]])</f>
        <v>0.6924552966432006</v>
      </c>
      <c r="Q75" s="7">
        <f>Table1_2[[#This Row],[Sales]]/Table1_2[[#This Row],[Quantity]]</f>
        <v>208.45750000000001</v>
      </c>
      <c r="R75" t="str">
        <f>IF(Table1_2[[#This Row],[Profit]]&gt;0, "YES", "NO")</f>
        <v>YES</v>
      </c>
      <c r="S75" t="str">
        <f>TEXT(Table1_2[[#This Row],[Order Date]], "MMM")</f>
        <v>Jul</v>
      </c>
      <c r="T75" t="str">
        <f>TEXT(Table1_2[[#This Row],[Ship Date]],"YYYY")</f>
        <v>2022</v>
      </c>
      <c r="U75" s="1">
        <f>MONTH(1&amp;Table1_2[[#This Row],[Month]])</f>
        <v>7</v>
      </c>
    </row>
    <row r="76" spans="1:21" x14ac:dyDescent="0.3">
      <c r="A76" t="s">
        <v>89</v>
      </c>
      <c r="B76" s="2">
        <v>44679</v>
      </c>
      <c r="C76" s="2">
        <v>44648</v>
      </c>
      <c r="D76" t="s">
        <v>350</v>
      </c>
      <c r="E76" t="s">
        <v>356</v>
      </c>
      <c r="F76" t="s">
        <v>361</v>
      </c>
      <c r="G76" s="1" t="s">
        <v>367</v>
      </c>
      <c r="H76" s="1" t="s">
        <v>379</v>
      </c>
      <c r="I76" s="1" t="s">
        <v>372</v>
      </c>
      <c r="J76" t="s">
        <v>386</v>
      </c>
      <c r="K76" t="str">
        <f ca="1">TRIM(Table1_2[[#This Row],[Sub-Category]])</f>
        <v>Phones</v>
      </c>
      <c r="L76" s="5">
        <v>1575.76</v>
      </c>
      <c r="M76">
        <v>9</v>
      </c>
      <c r="N76" s="17">
        <v>0.14000000000000001</v>
      </c>
      <c r="O76" s="5">
        <v>709.98</v>
      </c>
      <c r="P76" s="8">
        <f>IF(Table1_2[[#This Row],[Sales]]=0, 0,Table1_2[[#This Row],[Profit]]/Table1_2[[#This Row],[Sales]])</f>
        <v>0.45056353759455758</v>
      </c>
      <c r="Q76" s="7">
        <f>Table1_2[[#This Row],[Sales]]/Table1_2[[#This Row],[Quantity]]</f>
        <v>175.08444444444444</v>
      </c>
      <c r="R76" t="str">
        <f>IF(Table1_2[[#This Row],[Profit]]&gt;0, "YES", "NO")</f>
        <v>YES</v>
      </c>
      <c r="S76" t="str">
        <f>TEXT(Table1_2[[#This Row],[Order Date]], "MMM")</f>
        <v>Apr</v>
      </c>
      <c r="T76" t="str">
        <f>TEXT(Table1_2[[#This Row],[Ship Date]],"YYYY")</f>
        <v>2022</v>
      </c>
      <c r="U76" s="1">
        <f>MONTH(1&amp;Table1_2[[#This Row],[Month]])</f>
        <v>4</v>
      </c>
    </row>
    <row r="77" spans="1:21" x14ac:dyDescent="0.3">
      <c r="A77" t="s">
        <v>90</v>
      </c>
      <c r="B77" s="2">
        <v>44245</v>
      </c>
      <c r="C77" s="2">
        <v>45196</v>
      </c>
      <c r="D77" t="s">
        <v>349</v>
      </c>
      <c r="E77" t="s">
        <v>356</v>
      </c>
      <c r="F77" t="s">
        <v>363</v>
      </c>
      <c r="G77" s="1" t="s">
        <v>368</v>
      </c>
      <c r="H77" s="1" t="s">
        <v>375</v>
      </c>
      <c r="I77" s="1" t="s">
        <v>385</v>
      </c>
      <c r="J77" t="s">
        <v>387</v>
      </c>
      <c r="K77" t="str">
        <f ca="1">TRIM(Table1_2[[#This Row],[Sub-Category]])</f>
        <v>Paper</v>
      </c>
      <c r="L77" s="5">
        <v>1818.86</v>
      </c>
      <c r="M77">
        <v>4</v>
      </c>
      <c r="N77" s="17">
        <v>0.02</v>
      </c>
      <c r="O77" s="5">
        <v>238</v>
      </c>
      <c r="P77" s="8">
        <f>IF(Table1_2[[#This Row],[Sales]]=0, 0,Table1_2[[#This Row],[Profit]]/Table1_2[[#This Row],[Sales]])</f>
        <v>0.13085119250519556</v>
      </c>
      <c r="Q77" s="7">
        <f>Table1_2[[#This Row],[Sales]]/Table1_2[[#This Row],[Quantity]]</f>
        <v>454.71499999999997</v>
      </c>
      <c r="R77" t="str">
        <f>IF(Table1_2[[#This Row],[Profit]]&gt;0, "YES", "NO")</f>
        <v>YES</v>
      </c>
      <c r="S77" t="str">
        <f>TEXT(Table1_2[[#This Row],[Order Date]], "MMM")</f>
        <v>Feb</v>
      </c>
      <c r="T77" t="str">
        <f>TEXT(Table1_2[[#This Row],[Ship Date]],"YYYY")</f>
        <v>2023</v>
      </c>
      <c r="U77" s="1">
        <f>MONTH(1&amp;Table1_2[[#This Row],[Month]])</f>
        <v>2</v>
      </c>
    </row>
    <row r="78" spans="1:21" x14ac:dyDescent="0.3">
      <c r="A78" t="s">
        <v>91</v>
      </c>
      <c r="B78" s="2">
        <v>44691</v>
      </c>
      <c r="C78" s="2">
        <v>44484</v>
      </c>
      <c r="D78" t="s">
        <v>349</v>
      </c>
      <c r="E78" t="s">
        <v>355</v>
      </c>
      <c r="F78" t="s">
        <v>363</v>
      </c>
      <c r="G78" s="1" t="s">
        <v>370</v>
      </c>
      <c r="H78" s="1" t="s">
        <v>377</v>
      </c>
      <c r="I78" s="1" t="s">
        <v>385</v>
      </c>
      <c r="J78" t="s">
        <v>386</v>
      </c>
      <c r="K78" t="str">
        <f ca="1">TRIM(Table1_2[[#This Row],[Sub-Category]])</f>
        <v>Accessories</v>
      </c>
      <c r="L78" s="5">
        <v>1191.29</v>
      </c>
      <c r="M78">
        <v>1</v>
      </c>
      <c r="N78" s="17">
        <v>0.02</v>
      </c>
      <c r="O78" s="5">
        <v>-118.52</v>
      </c>
      <c r="P78" s="8">
        <f>IF(Table1_2[[#This Row],[Sales]]=0, 0,Table1_2[[#This Row],[Profit]]/Table1_2[[#This Row],[Sales]])</f>
        <v>-9.9488789463522742E-2</v>
      </c>
      <c r="Q78" s="7">
        <f>Table1_2[[#This Row],[Sales]]/Table1_2[[#This Row],[Quantity]]</f>
        <v>1191.29</v>
      </c>
      <c r="R78" t="str">
        <f>IF(Table1_2[[#This Row],[Profit]]&gt;0, "YES", "NO")</f>
        <v>NO</v>
      </c>
      <c r="S78" t="str">
        <f>TEXT(Table1_2[[#This Row],[Order Date]], "MMM")</f>
        <v>May</v>
      </c>
      <c r="T78" t="str">
        <f>TEXT(Table1_2[[#This Row],[Ship Date]],"YYYY")</f>
        <v>2021</v>
      </c>
      <c r="U78" s="1">
        <f>MONTH(1&amp;Table1_2[[#This Row],[Month]])</f>
        <v>5</v>
      </c>
    </row>
    <row r="79" spans="1:21" x14ac:dyDescent="0.3">
      <c r="A79" t="s">
        <v>92</v>
      </c>
      <c r="B79" s="2">
        <v>44657</v>
      </c>
      <c r="C79" s="2">
        <v>44390</v>
      </c>
      <c r="D79" t="s">
        <v>349</v>
      </c>
      <c r="E79" t="s">
        <v>358</v>
      </c>
      <c r="F79" t="s">
        <v>361</v>
      </c>
      <c r="G79" s="1" t="s">
        <v>366</v>
      </c>
      <c r="H79" s="1" t="s">
        <v>377</v>
      </c>
      <c r="I79" s="1" t="s">
        <v>384</v>
      </c>
      <c r="J79" t="s">
        <v>386</v>
      </c>
      <c r="K79" t="str">
        <f ca="1">TRIM(Table1_2[[#This Row],[Sub-Category]])</f>
        <v>NA</v>
      </c>
      <c r="L79" s="5">
        <v>606</v>
      </c>
      <c r="M79">
        <v>8</v>
      </c>
      <c r="N79" s="17">
        <v>0.08</v>
      </c>
      <c r="O79" s="5">
        <v>598.73</v>
      </c>
      <c r="P79" s="8">
        <f>IF(Table1_2[[#This Row],[Sales]]=0, 0,Table1_2[[#This Row],[Profit]]/Table1_2[[#This Row],[Sales]])</f>
        <v>0.98800330033003303</v>
      </c>
      <c r="Q79" s="7">
        <f>Table1_2[[#This Row],[Sales]]/Table1_2[[#This Row],[Quantity]]</f>
        <v>75.75</v>
      </c>
      <c r="R79" t="str">
        <f>IF(Table1_2[[#This Row],[Profit]]&gt;0, "YES", "NO")</f>
        <v>YES</v>
      </c>
      <c r="S79" t="str">
        <f>TEXT(Table1_2[[#This Row],[Order Date]], "MMM")</f>
        <v>Apr</v>
      </c>
      <c r="T79" t="str">
        <f>TEXT(Table1_2[[#This Row],[Ship Date]],"YYYY")</f>
        <v>2021</v>
      </c>
      <c r="U79" s="1">
        <f>MONTH(1&amp;Table1_2[[#This Row],[Month]])</f>
        <v>4</v>
      </c>
    </row>
    <row r="80" spans="1:21" x14ac:dyDescent="0.3">
      <c r="A80" t="s">
        <v>93</v>
      </c>
      <c r="B80" s="2">
        <v>45060</v>
      </c>
      <c r="C80" s="2">
        <v>45143</v>
      </c>
      <c r="D80" t="s">
        <v>352</v>
      </c>
      <c r="E80" t="s">
        <v>355</v>
      </c>
      <c r="F80" t="s">
        <v>362</v>
      </c>
      <c r="G80" s="1" t="s">
        <v>367</v>
      </c>
      <c r="H80" s="1" t="s">
        <v>415</v>
      </c>
      <c r="I80" s="1" t="s">
        <v>372</v>
      </c>
      <c r="J80" t="s">
        <v>386</v>
      </c>
      <c r="K80" t="str">
        <f ca="1">TRIM(Table1_2[[#This Row],[Sub-Category]])</f>
        <v>Binders</v>
      </c>
      <c r="L80" s="5">
        <v>1367.76</v>
      </c>
      <c r="M80">
        <v>3</v>
      </c>
      <c r="N80" s="17">
        <v>0.34</v>
      </c>
      <c r="O80" s="5">
        <v>685.17</v>
      </c>
      <c r="P80" s="8">
        <f>IF(Table1_2[[#This Row],[Sales]]=0, 0,Table1_2[[#This Row],[Profit]]/Table1_2[[#This Row],[Sales]])</f>
        <v>0.50094314792068784</v>
      </c>
      <c r="Q80" s="7">
        <f>Table1_2[[#This Row],[Sales]]/Table1_2[[#This Row],[Quantity]]</f>
        <v>455.92</v>
      </c>
      <c r="R80" t="str">
        <f>IF(Table1_2[[#This Row],[Profit]]&gt;0, "YES", "NO")</f>
        <v>YES</v>
      </c>
      <c r="S80" t="str">
        <f>TEXT(Table1_2[[#This Row],[Order Date]], "MMM")</f>
        <v>May</v>
      </c>
      <c r="T80" t="str">
        <f>TEXT(Table1_2[[#This Row],[Ship Date]],"YYYY")</f>
        <v>2023</v>
      </c>
      <c r="U80" s="1">
        <f>MONTH(1&amp;Table1_2[[#This Row],[Month]])</f>
        <v>5</v>
      </c>
    </row>
    <row r="81" spans="1:21" x14ac:dyDescent="0.3">
      <c r="A81" t="s">
        <v>94</v>
      </c>
      <c r="B81" s="2">
        <v>44908</v>
      </c>
      <c r="C81" s="2">
        <v>44351</v>
      </c>
      <c r="D81" t="s">
        <v>350</v>
      </c>
      <c r="E81" t="s">
        <v>360</v>
      </c>
      <c r="F81" t="s">
        <v>362</v>
      </c>
      <c r="G81" s="1" t="s">
        <v>370</v>
      </c>
      <c r="H81" s="1" t="s">
        <v>415</v>
      </c>
      <c r="I81" s="1" t="s">
        <v>372</v>
      </c>
      <c r="J81" t="s">
        <v>386</v>
      </c>
      <c r="K81" t="str">
        <f ca="1">TRIM(Table1_2[[#This Row],[Sub-Category]])</f>
        <v>Accessories</v>
      </c>
      <c r="L81" s="5">
        <v>1482.89</v>
      </c>
      <c r="M81">
        <v>9</v>
      </c>
      <c r="N81" s="17">
        <v>0.48</v>
      </c>
      <c r="O81" s="5">
        <v>214</v>
      </c>
      <c r="P81" s="8">
        <f>IF(Table1_2[[#This Row],[Sales]]=0, 0,Table1_2[[#This Row],[Profit]]/Table1_2[[#This Row],[Sales]])</f>
        <v>0.14431279461052404</v>
      </c>
      <c r="Q81" s="7">
        <f>Table1_2[[#This Row],[Sales]]/Table1_2[[#This Row],[Quantity]]</f>
        <v>164.76555555555558</v>
      </c>
      <c r="R81" t="str">
        <f>IF(Table1_2[[#This Row],[Profit]]&gt;0, "YES", "NO")</f>
        <v>YES</v>
      </c>
      <c r="S81" t="str">
        <f>TEXT(Table1_2[[#This Row],[Order Date]], "MMM")</f>
        <v>Dec</v>
      </c>
      <c r="T81" t="str">
        <f>TEXT(Table1_2[[#This Row],[Ship Date]],"YYYY")</f>
        <v>2021</v>
      </c>
      <c r="U81" s="1">
        <f>MONTH(1&amp;Table1_2[[#This Row],[Month]])</f>
        <v>12</v>
      </c>
    </row>
    <row r="82" spans="1:21" x14ac:dyDescent="0.3">
      <c r="A82" t="s">
        <v>95</v>
      </c>
      <c r="B82" s="2">
        <v>44388</v>
      </c>
      <c r="C82" s="2">
        <v>44224</v>
      </c>
      <c r="D82" t="s">
        <v>351</v>
      </c>
      <c r="E82" t="s">
        <v>356</v>
      </c>
      <c r="F82" t="s">
        <v>362</v>
      </c>
      <c r="G82" s="1" t="s">
        <v>415</v>
      </c>
      <c r="H82" s="1" t="s">
        <v>414</v>
      </c>
      <c r="I82" s="1" t="s">
        <v>384</v>
      </c>
      <c r="J82" t="s">
        <v>388</v>
      </c>
      <c r="K82" t="str">
        <f ca="1">TRIM(Table1_2[[#This Row],[Sub-Category]])</f>
        <v>Paper</v>
      </c>
      <c r="L82" s="5">
        <v>671.1</v>
      </c>
      <c r="M82">
        <v>7</v>
      </c>
      <c r="N82" s="17">
        <v>0.53</v>
      </c>
      <c r="O82" s="5">
        <v>43.36</v>
      </c>
      <c r="P82" s="8">
        <f>IF(Table1_2[[#This Row],[Sales]]=0, 0,Table1_2[[#This Row],[Profit]]/Table1_2[[#This Row],[Sales]])</f>
        <v>6.4610341230815077E-2</v>
      </c>
      <c r="Q82" s="7">
        <f>Table1_2[[#This Row],[Sales]]/Table1_2[[#This Row],[Quantity]]</f>
        <v>95.871428571428581</v>
      </c>
      <c r="R82" t="str">
        <f>IF(Table1_2[[#This Row],[Profit]]&gt;0, "YES", "NO")</f>
        <v>YES</v>
      </c>
      <c r="S82" t="str">
        <f>TEXT(Table1_2[[#This Row],[Order Date]], "MMM")</f>
        <v>Jul</v>
      </c>
      <c r="T82" t="str">
        <f>TEXT(Table1_2[[#This Row],[Ship Date]],"YYYY")</f>
        <v>2021</v>
      </c>
      <c r="U82" s="1">
        <f>MONTH(1&amp;Table1_2[[#This Row],[Month]])</f>
        <v>7</v>
      </c>
    </row>
    <row r="83" spans="1:21" x14ac:dyDescent="0.3">
      <c r="A83" t="s">
        <v>96</v>
      </c>
      <c r="B83" s="2">
        <v>44347</v>
      </c>
      <c r="C83" s="2">
        <v>44620</v>
      </c>
      <c r="D83" t="s">
        <v>350</v>
      </c>
      <c r="E83" t="s">
        <v>360</v>
      </c>
      <c r="F83" t="s">
        <v>363</v>
      </c>
      <c r="G83" s="1" t="s">
        <v>366</v>
      </c>
      <c r="H83" s="1" t="s">
        <v>377</v>
      </c>
      <c r="I83" s="1" t="s">
        <v>372</v>
      </c>
      <c r="J83" t="s">
        <v>387</v>
      </c>
      <c r="K83" t="str">
        <f ca="1">TRIM(Table1_2[[#This Row],[Sub-Category]])</f>
        <v>Tables</v>
      </c>
      <c r="L83" s="5">
        <v>1654.83</v>
      </c>
      <c r="M83">
        <v>8</v>
      </c>
      <c r="N83" s="17">
        <v>0.38</v>
      </c>
      <c r="O83" s="5">
        <v>-156.03</v>
      </c>
      <c r="P83" s="8">
        <f>IF(Table1_2[[#This Row],[Sales]]=0, 0,Table1_2[[#This Row],[Profit]]/Table1_2[[#This Row],[Sales]])</f>
        <v>-9.4287630753612156E-2</v>
      </c>
      <c r="Q83" s="7">
        <f>Table1_2[[#This Row],[Sales]]/Table1_2[[#This Row],[Quantity]]</f>
        <v>206.85374999999999</v>
      </c>
      <c r="R83" t="str">
        <f>IF(Table1_2[[#This Row],[Profit]]&gt;0, "YES", "NO")</f>
        <v>NO</v>
      </c>
      <c r="S83" t="str">
        <f>TEXT(Table1_2[[#This Row],[Order Date]], "MMM")</f>
        <v>May</v>
      </c>
      <c r="T83" t="str">
        <f>TEXT(Table1_2[[#This Row],[Ship Date]],"YYYY")</f>
        <v>2022</v>
      </c>
      <c r="U83" s="1">
        <f>MONTH(1&amp;Table1_2[[#This Row],[Month]])</f>
        <v>5</v>
      </c>
    </row>
    <row r="84" spans="1:21" x14ac:dyDescent="0.3">
      <c r="A84" t="s">
        <v>97</v>
      </c>
      <c r="B84" s="2">
        <v>44800</v>
      </c>
      <c r="C84" s="2">
        <v>44599</v>
      </c>
      <c r="D84" t="s">
        <v>349</v>
      </c>
      <c r="E84" t="s">
        <v>355</v>
      </c>
      <c r="F84" t="s">
        <v>362</v>
      </c>
      <c r="G84" s="1" t="s">
        <v>370</v>
      </c>
      <c r="H84" s="1" t="s">
        <v>414</v>
      </c>
      <c r="I84" s="1" t="s">
        <v>381</v>
      </c>
      <c r="J84" t="s">
        <v>387</v>
      </c>
      <c r="K84" t="str">
        <f ca="1">TRIM(Table1_2[[#This Row],[Sub-Category]])</f>
        <v>Phones</v>
      </c>
      <c r="L84" s="5">
        <v>156.65</v>
      </c>
      <c r="M84">
        <v>8</v>
      </c>
      <c r="N84" s="17">
        <v>0.24</v>
      </c>
      <c r="O84" s="5">
        <v>391.08</v>
      </c>
      <c r="P84" s="8">
        <f>IF(Table1_2[[#This Row],[Sales]]=0, 0,Table1_2[[#This Row],[Profit]]/Table1_2[[#This Row],[Sales]])</f>
        <v>2.4965209064794127</v>
      </c>
      <c r="Q84" s="7">
        <f>Table1_2[[#This Row],[Sales]]/Table1_2[[#This Row],[Quantity]]</f>
        <v>19.581250000000001</v>
      </c>
      <c r="R84" t="str">
        <f>IF(Table1_2[[#This Row],[Profit]]&gt;0, "YES", "NO")</f>
        <v>YES</v>
      </c>
      <c r="S84" t="str">
        <f>TEXT(Table1_2[[#This Row],[Order Date]], "MMM")</f>
        <v>Aug</v>
      </c>
      <c r="T84" t="str">
        <f>TEXT(Table1_2[[#This Row],[Ship Date]],"YYYY")</f>
        <v>2022</v>
      </c>
      <c r="U84" s="1">
        <f>MONTH(1&amp;Table1_2[[#This Row],[Month]])</f>
        <v>8</v>
      </c>
    </row>
    <row r="85" spans="1:21" x14ac:dyDescent="0.3">
      <c r="A85" t="s">
        <v>98</v>
      </c>
      <c r="B85" s="2">
        <v>44244</v>
      </c>
      <c r="C85" s="2">
        <v>44817</v>
      </c>
      <c r="D85" t="s">
        <v>352</v>
      </c>
      <c r="E85" t="s">
        <v>358</v>
      </c>
      <c r="F85" t="s">
        <v>364</v>
      </c>
      <c r="G85" s="1" t="s">
        <v>371</v>
      </c>
      <c r="H85" s="1" t="s">
        <v>378</v>
      </c>
      <c r="I85" s="1" t="s">
        <v>383</v>
      </c>
      <c r="J85" t="s">
        <v>372</v>
      </c>
      <c r="K85" t="str">
        <f ca="1">TRIM(Table1_2[[#This Row],[Sub-Category]])</f>
        <v>Tables</v>
      </c>
      <c r="L85" s="5">
        <v>31.4</v>
      </c>
      <c r="M85">
        <v>2</v>
      </c>
      <c r="N85" s="17">
        <v>0.09</v>
      </c>
      <c r="O85" s="5">
        <v>709.87</v>
      </c>
      <c r="P85" s="8">
        <f>IF(Table1_2[[#This Row],[Sales]]=0, 0,Table1_2[[#This Row],[Profit]]/Table1_2[[#This Row],[Sales]])</f>
        <v>22.607324840764331</v>
      </c>
      <c r="Q85" s="7">
        <f>Table1_2[[#This Row],[Sales]]/Table1_2[[#This Row],[Quantity]]</f>
        <v>15.7</v>
      </c>
      <c r="R85" t="str">
        <f>IF(Table1_2[[#This Row],[Profit]]&gt;0, "YES", "NO")</f>
        <v>YES</v>
      </c>
      <c r="S85" t="str">
        <f>TEXT(Table1_2[[#This Row],[Order Date]], "MMM")</f>
        <v>Feb</v>
      </c>
      <c r="T85" t="str">
        <f>TEXT(Table1_2[[#This Row],[Ship Date]],"YYYY")</f>
        <v>2022</v>
      </c>
      <c r="U85" s="1">
        <f>MONTH(1&amp;Table1_2[[#This Row],[Month]])</f>
        <v>2</v>
      </c>
    </row>
    <row r="86" spans="1:21" x14ac:dyDescent="0.3">
      <c r="A86" t="s">
        <v>99</v>
      </c>
      <c r="B86" s="2">
        <v>44516</v>
      </c>
      <c r="C86" s="2">
        <v>45075</v>
      </c>
      <c r="D86" t="s">
        <v>350</v>
      </c>
      <c r="E86" t="s">
        <v>357</v>
      </c>
      <c r="F86" t="s">
        <v>364</v>
      </c>
      <c r="G86" s="1" t="s">
        <v>369</v>
      </c>
      <c r="H86" s="1" t="s">
        <v>376</v>
      </c>
      <c r="I86" s="1" t="s">
        <v>382</v>
      </c>
      <c r="J86" t="s">
        <v>387</v>
      </c>
      <c r="K86" t="str">
        <f ca="1">TRIM(Table1_2[[#This Row],[Sub-Category]])</f>
        <v>Accessories</v>
      </c>
      <c r="L86" s="5">
        <v>254.71</v>
      </c>
      <c r="M86">
        <v>6</v>
      </c>
      <c r="N86" s="17">
        <v>0.24</v>
      </c>
      <c r="O86" s="5">
        <v>477.89</v>
      </c>
      <c r="P86" s="8">
        <f>IF(Table1_2[[#This Row],[Sales]]=0, 0,Table1_2[[#This Row],[Profit]]/Table1_2[[#This Row],[Sales]])</f>
        <v>1.8762121628518706</v>
      </c>
      <c r="Q86" s="7">
        <f>Table1_2[[#This Row],[Sales]]/Table1_2[[#This Row],[Quantity]]</f>
        <v>42.451666666666668</v>
      </c>
      <c r="R86" t="str">
        <f>IF(Table1_2[[#This Row],[Profit]]&gt;0, "YES", "NO")</f>
        <v>YES</v>
      </c>
      <c r="S86" t="str">
        <f>TEXT(Table1_2[[#This Row],[Order Date]], "MMM")</f>
        <v>Nov</v>
      </c>
      <c r="T86" t="str">
        <f>TEXT(Table1_2[[#This Row],[Ship Date]],"YYYY")</f>
        <v>2023</v>
      </c>
      <c r="U86" s="1">
        <f>MONTH(1&amp;Table1_2[[#This Row],[Month]])</f>
        <v>11</v>
      </c>
    </row>
    <row r="87" spans="1:21" x14ac:dyDescent="0.3">
      <c r="A87" t="s">
        <v>100</v>
      </c>
      <c r="B87" s="2">
        <v>44335</v>
      </c>
      <c r="C87" s="2">
        <v>45130</v>
      </c>
      <c r="D87" t="s">
        <v>352</v>
      </c>
      <c r="E87" t="s">
        <v>355</v>
      </c>
      <c r="F87" t="s">
        <v>362</v>
      </c>
      <c r="G87" s="1" t="s">
        <v>415</v>
      </c>
      <c r="H87" s="1" t="s">
        <v>374</v>
      </c>
      <c r="I87" s="1" t="s">
        <v>372</v>
      </c>
      <c r="J87" t="s">
        <v>388</v>
      </c>
      <c r="K87" t="str">
        <f ca="1">TRIM(Table1_2[[#This Row],[Sub-Category]])</f>
        <v>NA</v>
      </c>
      <c r="L87" s="5">
        <v>320.45999999999998</v>
      </c>
      <c r="M87">
        <v>4</v>
      </c>
      <c r="N87" s="17">
        <v>0.2</v>
      </c>
      <c r="O87" s="5">
        <v>117.25</v>
      </c>
      <c r="P87" s="8">
        <f>IF(Table1_2[[#This Row],[Sales]]=0, 0,Table1_2[[#This Row],[Profit]]/Table1_2[[#This Row],[Sales]])</f>
        <v>0.36588029707295766</v>
      </c>
      <c r="Q87" s="7">
        <f>Table1_2[[#This Row],[Sales]]/Table1_2[[#This Row],[Quantity]]</f>
        <v>80.114999999999995</v>
      </c>
      <c r="R87" t="str">
        <f>IF(Table1_2[[#This Row],[Profit]]&gt;0, "YES", "NO")</f>
        <v>YES</v>
      </c>
      <c r="S87" t="str">
        <f>TEXT(Table1_2[[#This Row],[Order Date]], "MMM")</f>
        <v>May</v>
      </c>
      <c r="T87" t="str">
        <f>TEXT(Table1_2[[#This Row],[Ship Date]],"YYYY")</f>
        <v>2023</v>
      </c>
      <c r="U87" s="1">
        <f>MONTH(1&amp;Table1_2[[#This Row],[Month]])</f>
        <v>5</v>
      </c>
    </row>
    <row r="88" spans="1:21" x14ac:dyDescent="0.3">
      <c r="A88" t="s">
        <v>101</v>
      </c>
      <c r="B88" s="2">
        <v>44217</v>
      </c>
      <c r="C88" s="2">
        <v>44487</v>
      </c>
      <c r="D88" t="s">
        <v>352</v>
      </c>
      <c r="E88" t="s">
        <v>358</v>
      </c>
      <c r="F88" t="s">
        <v>362</v>
      </c>
      <c r="G88" s="1" t="s">
        <v>371</v>
      </c>
      <c r="H88" s="1" t="s">
        <v>375</v>
      </c>
      <c r="I88" s="1" t="s">
        <v>372</v>
      </c>
      <c r="J88" t="s">
        <v>388</v>
      </c>
      <c r="K88" t="str">
        <f ca="1">TRIM(Table1_2[[#This Row],[Sub-Category]])</f>
        <v>Binders</v>
      </c>
      <c r="L88" s="5">
        <v>1759.07</v>
      </c>
      <c r="M88">
        <v>6</v>
      </c>
      <c r="N88" s="17">
        <v>0.52</v>
      </c>
      <c r="O88" s="5">
        <v>442.89</v>
      </c>
      <c r="P88" s="8">
        <f>IF(Table1_2[[#This Row],[Sales]]=0, 0,Table1_2[[#This Row],[Profit]]/Table1_2[[#This Row],[Sales]])</f>
        <v>0.25177508569869306</v>
      </c>
      <c r="Q88" s="7">
        <f>Table1_2[[#This Row],[Sales]]/Table1_2[[#This Row],[Quantity]]</f>
        <v>293.17833333333334</v>
      </c>
      <c r="R88" t="str">
        <f>IF(Table1_2[[#This Row],[Profit]]&gt;0, "YES", "NO")</f>
        <v>YES</v>
      </c>
      <c r="S88" t="str">
        <f>TEXT(Table1_2[[#This Row],[Order Date]], "MMM")</f>
        <v>Jan</v>
      </c>
      <c r="T88" t="str">
        <f>TEXT(Table1_2[[#This Row],[Ship Date]],"YYYY")</f>
        <v>2021</v>
      </c>
      <c r="U88" s="1">
        <f>MONTH(1&amp;Table1_2[[#This Row],[Month]])</f>
        <v>1</v>
      </c>
    </row>
    <row r="89" spans="1:21" x14ac:dyDescent="0.3">
      <c r="A89" t="s">
        <v>102</v>
      </c>
      <c r="B89" s="2">
        <v>45115</v>
      </c>
      <c r="C89" s="2">
        <v>45178</v>
      </c>
      <c r="D89" t="s">
        <v>350</v>
      </c>
      <c r="E89" t="s">
        <v>356</v>
      </c>
      <c r="F89" t="s">
        <v>362</v>
      </c>
      <c r="G89" s="1" t="s">
        <v>366</v>
      </c>
      <c r="H89" s="1" t="s">
        <v>375</v>
      </c>
      <c r="I89" s="1" t="s">
        <v>372</v>
      </c>
      <c r="J89" t="s">
        <v>386</v>
      </c>
      <c r="K89" t="str">
        <f ca="1">TRIM(Table1_2[[#This Row],[Sub-Category]])</f>
        <v>NA</v>
      </c>
      <c r="L89" s="5">
        <v>855.71</v>
      </c>
      <c r="M89">
        <v>7</v>
      </c>
      <c r="N89" s="17">
        <v>0.28999999999999998</v>
      </c>
      <c r="O89" s="5">
        <v>632</v>
      </c>
      <c r="P89" s="8">
        <f>IF(Table1_2[[#This Row],[Sales]]=0, 0,Table1_2[[#This Row],[Profit]]/Table1_2[[#This Row],[Sales]])</f>
        <v>0.73856797279452147</v>
      </c>
      <c r="Q89" s="7">
        <f>Table1_2[[#This Row],[Sales]]/Table1_2[[#This Row],[Quantity]]</f>
        <v>122.24428571428572</v>
      </c>
      <c r="R89" t="str">
        <f>IF(Table1_2[[#This Row],[Profit]]&gt;0, "YES", "NO")</f>
        <v>YES</v>
      </c>
      <c r="S89" t="str">
        <f>TEXT(Table1_2[[#This Row],[Order Date]], "MMM")</f>
        <v>Jul</v>
      </c>
      <c r="T89" t="str">
        <f>TEXT(Table1_2[[#This Row],[Ship Date]],"YYYY")</f>
        <v>2023</v>
      </c>
      <c r="U89" s="1">
        <f>MONTH(1&amp;Table1_2[[#This Row],[Month]])</f>
        <v>7</v>
      </c>
    </row>
    <row r="90" spans="1:21" x14ac:dyDescent="0.3">
      <c r="A90" t="s">
        <v>103</v>
      </c>
      <c r="B90" s="2">
        <v>44286</v>
      </c>
      <c r="C90" s="2">
        <v>44830</v>
      </c>
      <c r="D90" t="s">
        <v>352</v>
      </c>
      <c r="E90" t="s">
        <v>357</v>
      </c>
      <c r="F90" t="s">
        <v>363</v>
      </c>
      <c r="G90" s="1" t="s">
        <v>366</v>
      </c>
      <c r="H90" s="1" t="s">
        <v>379</v>
      </c>
      <c r="I90" s="1" t="s">
        <v>372</v>
      </c>
      <c r="J90" t="s">
        <v>387</v>
      </c>
      <c r="K90" t="str">
        <f ca="1">TRIM(Table1_2[[#This Row],[Sub-Category]])</f>
        <v>Phones</v>
      </c>
      <c r="L90" s="5">
        <v>557.11</v>
      </c>
      <c r="M90">
        <v>5</v>
      </c>
      <c r="N90" s="17">
        <v>0.14000000000000001</v>
      </c>
      <c r="O90" s="5">
        <v>275.83</v>
      </c>
      <c r="P90" s="8">
        <f>IF(Table1_2[[#This Row],[Sales]]=0, 0,Table1_2[[#This Row],[Profit]]/Table1_2[[#This Row],[Sales]])</f>
        <v>0.49510868589686052</v>
      </c>
      <c r="Q90" s="7">
        <f>Table1_2[[#This Row],[Sales]]/Table1_2[[#This Row],[Quantity]]</f>
        <v>111.422</v>
      </c>
      <c r="R90" t="str">
        <f>IF(Table1_2[[#This Row],[Profit]]&gt;0, "YES", "NO")</f>
        <v>YES</v>
      </c>
      <c r="S90" t="str">
        <f>TEXT(Table1_2[[#This Row],[Order Date]], "MMM")</f>
        <v>Mar</v>
      </c>
      <c r="T90" t="str">
        <f>TEXT(Table1_2[[#This Row],[Ship Date]],"YYYY")</f>
        <v>2022</v>
      </c>
      <c r="U90" s="1">
        <f>MONTH(1&amp;Table1_2[[#This Row],[Month]])</f>
        <v>3</v>
      </c>
    </row>
    <row r="91" spans="1:21" x14ac:dyDescent="0.3">
      <c r="A91" t="s">
        <v>104</v>
      </c>
      <c r="B91" s="2">
        <v>44206</v>
      </c>
      <c r="C91" s="2">
        <v>44533</v>
      </c>
      <c r="D91" t="s">
        <v>350</v>
      </c>
      <c r="E91" t="s">
        <v>359</v>
      </c>
      <c r="F91" t="s">
        <v>363</v>
      </c>
      <c r="G91" s="1" t="s">
        <v>366</v>
      </c>
      <c r="H91" s="1" t="s">
        <v>380</v>
      </c>
      <c r="I91" s="1" t="s">
        <v>384</v>
      </c>
      <c r="J91" t="s">
        <v>386</v>
      </c>
      <c r="K91" t="str">
        <f ca="1">TRIM(Table1_2[[#This Row],[Sub-Category]])</f>
        <v>NA</v>
      </c>
      <c r="L91" s="5">
        <v>863.86</v>
      </c>
      <c r="M91">
        <v>3</v>
      </c>
      <c r="N91" s="17">
        <v>0.17</v>
      </c>
      <c r="O91" s="5">
        <v>619.75</v>
      </c>
      <c r="P91" s="8">
        <f>IF(Table1_2[[#This Row],[Sales]]=0, 0,Table1_2[[#This Row],[Profit]]/Table1_2[[#This Row],[Sales]])</f>
        <v>0.71741948926909449</v>
      </c>
      <c r="Q91" s="7">
        <f>Table1_2[[#This Row],[Sales]]/Table1_2[[#This Row],[Quantity]]</f>
        <v>287.95333333333332</v>
      </c>
      <c r="R91" t="str">
        <f>IF(Table1_2[[#This Row],[Profit]]&gt;0, "YES", "NO")</f>
        <v>YES</v>
      </c>
      <c r="S91" t="str">
        <f>TEXT(Table1_2[[#This Row],[Order Date]], "MMM")</f>
        <v>Jan</v>
      </c>
      <c r="T91" t="str">
        <f>TEXT(Table1_2[[#This Row],[Ship Date]],"YYYY")</f>
        <v>2021</v>
      </c>
      <c r="U91" s="1">
        <f>MONTH(1&amp;Table1_2[[#This Row],[Month]])</f>
        <v>1</v>
      </c>
    </row>
    <row r="92" spans="1:21" x14ac:dyDescent="0.3">
      <c r="A92" t="s">
        <v>105</v>
      </c>
      <c r="B92" s="2">
        <v>45129</v>
      </c>
      <c r="C92" s="2">
        <v>45136</v>
      </c>
      <c r="D92" t="s">
        <v>351</v>
      </c>
      <c r="E92" t="s">
        <v>358</v>
      </c>
      <c r="F92" t="s">
        <v>361</v>
      </c>
      <c r="G92" s="1" t="s">
        <v>368</v>
      </c>
      <c r="H92" s="1" t="s">
        <v>380</v>
      </c>
      <c r="I92" s="1" t="s">
        <v>382</v>
      </c>
      <c r="J92" t="s">
        <v>386</v>
      </c>
      <c r="K92" t="str">
        <f ca="1">TRIM(Table1_2[[#This Row],[Sub-Category]])</f>
        <v>Binders</v>
      </c>
      <c r="L92" s="5">
        <v>795.73</v>
      </c>
      <c r="M92">
        <v>9</v>
      </c>
      <c r="N92" s="17">
        <v>0.08</v>
      </c>
      <c r="O92" s="5">
        <v>191.91</v>
      </c>
      <c r="P92" s="8">
        <f>IF(Table1_2[[#This Row],[Sales]]=0, 0,Table1_2[[#This Row],[Profit]]/Table1_2[[#This Row],[Sales]])</f>
        <v>0.24117477033667198</v>
      </c>
      <c r="Q92" s="7">
        <f>Table1_2[[#This Row],[Sales]]/Table1_2[[#This Row],[Quantity]]</f>
        <v>88.414444444444442</v>
      </c>
      <c r="R92" t="str">
        <f>IF(Table1_2[[#This Row],[Profit]]&gt;0, "YES", "NO")</f>
        <v>YES</v>
      </c>
      <c r="S92" t="str">
        <f>TEXT(Table1_2[[#This Row],[Order Date]], "MMM")</f>
        <v>Jul</v>
      </c>
      <c r="T92" t="str">
        <f>TEXT(Table1_2[[#This Row],[Ship Date]],"YYYY")</f>
        <v>2023</v>
      </c>
      <c r="U92" s="1">
        <f>MONTH(1&amp;Table1_2[[#This Row],[Month]])</f>
        <v>7</v>
      </c>
    </row>
    <row r="93" spans="1:21" x14ac:dyDescent="0.3">
      <c r="A93" t="s">
        <v>106</v>
      </c>
      <c r="B93" s="2">
        <v>44385</v>
      </c>
      <c r="C93" s="2">
        <v>44335</v>
      </c>
      <c r="D93" t="s">
        <v>349</v>
      </c>
      <c r="E93" t="s">
        <v>357</v>
      </c>
      <c r="F93" t="s">
        <v>364</v>
      </c>
      <c r="G93" s="1" t="s">
        <v>366</v>
      </c>
      <c r="H93" s="1" t="s">
        <v>378</v>
      </c>
      <c r="I93" s="1" t="s">
        <v>382</v>
      </c>
      <c r="J93" t="s">
        <v>387</v>
      </c>
      <c r="K93" t="str">
        <f ca="1">TRIM(Table1_2[[#This Row],[Sub-Category]])</f>
        <v>Paper</v>
      </c>
      <c r="L93" s="5">
        <v>609.91</v>
      </c>
      <c r="M93">
        <v>6</v>
      </c>
      <c r="N93" s="17">
        <v>0.55000000000000004</v>
      </c>
      <c r="O93" s="5">
        <v>149</v>
      </c>
      <c r="P93" s="8">
        <f>IF(Table1_2[[#This Row],[Sales]]=0, 0,Table1_2[[#This Row],[Profit]]/Table1_2[[#This Row],[Sales]])</f>
        <v>0.24429833909921136</v>
      </c>
      <c r="Q93" s="7">
        <f>Table1_2[[#This Row],[Sales]]/Table1_2[[#This Row],[Quantity]]</f>
        <v>101.65166666666666</v>
      </c>
      <c r="R93" t="str">
        <f>IF(Table1_2[[#This Row],[Profit]]&gt;0, "YES", "NO")</f>
        <v>YES</v>
      </c>
      <c r="S93" t="str">
        <f>TEXT(Table1_2[[#This Row],[Order Date]], "MMM")</f>
        <v>Jul</v>
      </c>
      <c r="T93" t="str">
        <f>TEXT(Table1_2[[#This Row],[Ship Date]],"YYYY")</f>
        <v>2021</v>
      </c>
      <c r="U93" s="1">
        <f>MONTH(1&amp;Table1_2[[#This Row],[Month]])</f>
        <v>7</v>
      </c>
    </row>
    <row r="94" spans="1:21" x14ac:dyDescent="0.3">
      <c r="A94" t="s">
        <v>107</v>
      </c>
      <c r="B94" s="2">
        <v>45013</v>
      </c>
      <c r="C94" s="2">
        <v>44786</v>
      </c>
      <c r="D94" t="s">
        <v>350</v>
      </c>
      <c r="E94" t="s">
        <v>360</v>
      </c>
      <c r="F94" t="s">
        <v>362</v>
      </c>
      <c r="G94" s="1" t="s">
        <v>369</v>
      </c>
      <c r="H94" s="1" t="s">
        <v>378</v>
      </c>
      <c r="I94" s="1" t="s">
        <v>384</v>
      </c>
      <c r="J94" t="s">
        <v>388</v>
      </c>
      <c r="K94" t="str">
        <f ca="1">TRIM(Table1_2[[#This Row],[Sub-Category]])</f>
        <v>Tables</v>
      </c>
      <c r="L94" s="5">
        <v>284</v>
      </c>
      <c r="M94">
        <v>8</v>
      </c>
      <c r="N94" s="17">
        <v>0.03</v>
      </c>
      <c r="O94" s="5">
        <v>382.99</v>
      </c>
      <c r="P94" s="8">
        <f>IF(Table1_2[[#This Row],[Sales]]=0, 0,Table1_2[[#This Row],[Profit]]/Table1_2[[#This Row],[Sales]])</f>
        <v>1.3485563380281691</v>
      </c>
      <c r="Q94" s="7">
        <f>Table1_2[[#This Row],[Sales]]/Table1_2[[#This Row],[Quantity]]</f>
        <v>35.5</v>
      </c>
      <c r="R94" t="str">
        <f>IF(Table1_2[[#This Row],[Profit]]&gt;0, "YES", "NO")</f>
        <v>YES</v>
      </c>
      <c r="S94" t="str">
        <f>TEXT(Table1_2[[#This Row],[Order Date]], "MMM")</f>
        <v>Mar</v>
      </c>
      <c r="T94" t="str">
        <f>TEXT(Table1_2[[#This Row],[Ship Date]],"YYYY")</f>
        <v>2022</v>
      </c>
      <c r="U94" s="1">
        <f>MONTH(1&amp;Table1_2[[#This Row],[Month]])</f>
        <v>3</v>
      </c>
    </row>
    <row r="95" spans="1:21" x14ac:dyDescent="0.3">
      <c r="A95" t="s">
        <v>108</v>
      </c>
      <c r="B95" s="2">
        <v>44228</v>
      </c>
      <c r="C95" s="2">
        <v>44988</v>
      </c>
      <c r="D95" t="s">
        <v>352</v>
      </c>
      <c r="E95" t="s">
        <v>360</v>
      </c>
      <c r="F95" t="s">
        <v>363</v>
      </c>
      <c r="G95" s="1" t="s">
        <v>369</v>
      </c>
      <c r="H95" s="1" t="s">
        <v>415</v>
      </c>
      <c r="I95" s="1" t="s">
        <v>383</v>
      </c>
      <c r="J95" t="s">
        <v>387</v>
      </c>
      <c r="K95" t="str">
        <f ca="1">TRIM(Table1_2[[#This Row],[Sub-Category]])</f>
        <v>Tables</v>
      </c>
      <c r="L95" s="5">
        <v>1315</v>
      </c>
      <c r="M95">
        <v>3</v>
      </c>
      <c r="N95" s="17">
        <v>0.01</v>
      </c>
      <c r="O95" s="5">
        <v>264.69</v>
      </c>
      <c r="P95" s="8">
        <f>IF(Table1_2[[#This Row],[Sales]]=0, 0,Table1_2[[#This Row],[Profit]]/Table1_2[[#This Row],[Sales]])</f>
        <v>0.20128517110266159</v>
      </c>
      <c r="Q95" s="7">
        <f>Table1_2[[#This Row],[Sales]]/Table1_2[[#This Row],[Quantity]]</f>
        <v>438.33333333333331</v>
      </c>
      <c r="R95" t="str">
        <f>IF(Table1_2[[#This Row],[Profit]]&gt;0, "YES", "NO")</f>
        <v>YES</v>
      </c>
      <c r="S95" t="str">
        <f>TEXT(Table1_2[[#This Row],[Order Date]], "MMM")</f>
        <v>Feb</v>
      </c>
      <c r="T95" t="str">
        <f>TEXT(Table1_2[[#This Row],[Ship Date]],"YYYY")</f>
        <v>2023</v>
      </c>
      <c r="U95" s="1">
        <f>MONTH(1&amp;Table1_2[[#This Row],[Month]])</f>
        <v>2</v>
      </c>
    </row>
    <row r="96" spans="1:21" x14ac:dyDescent="0.3">
      <c r="A96" t="s">
        <v>109</v>
      </c>
      <c r="B96" s="2">
        <v>44350</v>
      </c>
      <c r="C96" s="2">
        <v>44447</v>
      </c>
      <c r="D96" t="s">
        <v>350</v>
      </c>
      <c r="E96" t="s">
        <v>355</v>
      </c>
      <c r="F96" t="s">
        <v>363</v>
      </c>
      <c r="G96" s="1" t="s">
        <v>373</v>
      </c>
      <c r="H96" s="1" t="s">
        <v>415</v>
      </c>
      <c r="I96" s="1" t="s">
        <v>383</v>
      </c>
      <c r="J96" t="s">
        <v>388</v>
      </c>
      <c r="K96" t="str">
        <f ca="1">TRIM(Table1_2[[#This Row],[Sub-Category]])</f>
        <v>NA</v>
      </c>
      <c r="L96" s="5">
        <v>281.83999999999997</v>
      </c>
      <c r="M96">
        <v>8</v>
      </c>
      <c r="N96" s="17">
        <v>0.11</v>
      </c>
      <c r="O96" s="5">
        <v>777.11</v>
      </c>
      <c r="P96" s="8">
        <f>IF(Table1_2[[#This Row],[Sales]]=0, 0,Table1_2[[#This Row],[Profit]]/Table1_2[[#This Row],[Sales]])</f>
        <v>2.7572736304286121</v>
      </c>
      <c r="Q96" s="7">
        <f>Table1_2[[#This Row],[Sales]]/Table1_2[[#This Row],[Quantity]]</f>
        <v>35.229999999999997</v>
      </c>
      <c r="R96" t="str">
        <f>IF(Table1_2[[#This Row],[Profit]]&gt;0, "YES", "NO")</f>
        <v>YES</v>
      </c>
      <c r="S96" t="str">
        <f>TEXT(Table1_2[[#This Row],[Order Date]], "MMM")</f>
        <v>Jun</v>
      </c>
      <c r="T96" t="str">
        <f>TEXT(Table1_2[[#This Row],[Ship Date]],"YYYY")</f>
        <v>2021</v>
      </c>
      <c r="U96" s="1">
        <f>MONTH(1&amp;Table1_2[[#This Row],[Month]])</f>
        <v>6</v>
      </c>
    </row>
    <row r="97" spans="1:21" x14ac:dyDescent="0.3">
      <c r="A97" t="s">
        <v>110</v>
      </c>
      <c r="B97" s="2">
        <v>44307</v>
      </c>
      <c r="C97" s="2">
        <v>44468</v>
      </c>
      <c r="D97" t="s">
        <v>350</v>
      </c>
      <c r="E97" t="s">
        <v>355</v>
      </c>
      <c r="F97" t="s">
        <v>363</v>
      </c>
      <c r="G97" s="1" t="s">
        <v>366</v>
      </c>
      <c r="H97" s="1" t="s">
        <v>374</v>
      </c>
      <c r="I97" s="1" t="s">
        <v>385</v>
      </c>
      <c r="J97" t="s">
        <v>387</v>
      </c>
      <c r="K97" t="str">
        <f ca="1">TRIM(Table1_2[[#This Row],[Sub-Category]])</f>
        <v>Accessories</v>
      </c>
      <c r="L97" s="5">
        <v>1553.09</v>
      </c>
      <c r="M97">
        <v>3</v>
      </c>
      <c r="N97" s="17">
        <v>0.49</v>
      </c>
      <c r="O97" s="5">
        <v>316</v>
      </c>
      <c r="P97" s="8">
        <f>IF(Table1_2[[#This Row],[Sales]]=0, 0,Table1_2[[#This Row],[Profit]]/Table1_2[[#This Row],[Sales]])</f>
        <v>0.20346534972216679</v>
      </c>
      <c r="Q97" s="7">
        <f>Table1_2[[#This Row],[Sales]]/Table1_2[[#This Row],[Quantity]]</f>
        <v>517.6966666666666</v>
      </c>
      <c r="R97" t="str">
        <f>IF(Table1_2[[#This Row],[Profit]]&gt;0, "YES", "NO")</f>
        <v>YES</v>
      </c>
      <c r="S97" t="str">
        <f>TEXT(Table1_2[[#This Row],[Order Date]], "MMM")</f>
        <v>Apr</v>
      </c>
      <c r="T97" t="str">
        <f>TEXT(Table1_2[[#This Row],[Ship Date]],"YYYY")</f>
        <v>2021</v>
      </c>
      <c r="U97" s="1">
        <f>MONTH(1&amp;Table1_2[[#This Row],[Month]])</f>
        <v>4</v>
      </c>
    </row>
    <row r="98" spans="1:21" x14ac:dyDescent="0.3">
      <c r="A98" t="s">
        <v>111</v>
      </c>
      <c r="B98" s="2">
        <v>44903</v>
      </c>
      <c r="C98" s="2">
        <v>44674</v>
      </c>
      <c r="D98" t="s">
        <v>349</v>
      </c>
      <c r="E98" t="s">
        <v>355</v>
      </c>
      <c r="F98" t="s">
        <v>361</v>
      </c>
      <c r="G98" s="1" t="s">
        <v>369</v>
      </c>
      <c r="H98" s="1" t="s">
        <v>377</v>
      </c>
      <c r="I98" s="1" t="s">
        <v>372</v>
      </c>
      <c r="J98" t="s">
        <v>387</v>
      </c>
      <c r="K98" t="str">
        <f ca="1">TRIM(Table1_2[[#This Row],[Sub-Category]])</f>
        <v>Phones</v>
      </c>
      <c r="L98" s="5">
        <v>411</v>
      </c>
      <c r="M98">
        <v>5</v>
      </c>
      <c r="N98" s="17">
        <v>0.31</v>
      </c>
      <c r="O98" s="5">
        <v>185.17</v>
      </c>
      <c r="P98" s="8">
        <f>IF(Table1_2[[#This Row],[Sales]]=0, 0,Table1_2[[#This Row],[Profit]]/Table1_2[[#This Row],[Sales]])</f>
        <v>0.4505352798053528</v>
      </c>
      <c r="Q98" s="7">
        <f>Table1_2[[#This Row],[Sales]]/Table1_2[[#This Row],[Quantity]]</f>
        <v>82.2</v>
      </c>
      <c r="R98" t="str">
        <f>IF(Table1_2[[#This Row],[Profit]]&gt;0, "YES", "NO")</f>
        <v>YES</v>
      </c>
      <c r="S98" t="str">
        <f>TEXT(Table1_2[[#This Row],[Order Date]], "MMM")</f>
        <v>Dec</v>
      </c>
      <c r="T98" t="str">
        <f>TEXT(Table1_2[[#This Row],[Ship Date]],"YYYY")</f>
        <v>2022</v>
      </c>
      <c r="U98" s="1">
        <f>MONTH(1&amp;Table1_2[[#This Row],[Month]])</f>
        <v>12</v>
      </c>
    </row>
    <row r="99" spans="1:21" x14ac:dyDescent="0.3">
      <c r="A99" t="s">
        <v>112</v>
      </c>
      <c r="B99" s="2">
        <v>44817</v>
      </c>
      <c r="C99" s="2">
        <v>45082</v>
      </c>
      <c r="D99" t="s">
        <v>352</v>
      </c>
      <c r="E99" t="s">
        <v>355</v>
      </c>
      <c r="F99" t="s">
        <v>364</v>
      </c>
      <c r="G99" s="1" t="s">
        <v>373</v>
      </c>
      <c r="H99" s="1" t="s">
        <v>377</v>
      </c>
      <c r="I99" s="1" t="s">
        <v>384</v>
      </c>
      <c r="J99" t="s">
        <v>388</v>
      </c>
      <c r="K99" t="str">
        <f ca="1">TRIM(Table1_2[[#This Row],[Sub-Category]])</f>
        <v>Tables</v>
      </c>
      <c r="L99" s="5">
        <v>1465.43</v>
      </c>
      <c r="M99">
        <v>8</v>
      </c>
      <c r="N99" s="17">
        <v>0.38</v>
      </c>
      <c r="O99" s="5">
        <v>195</v>
      </c>
      <c r="P99" s="8">
        <f>IF(Table1_2[[#This Row],[Sales]]=0, 0,Table1_2[[#This Row],[Profit]]/Table1_2[[#This Row],[Sales]])</f>
        <v>0.13306674491446197</v>
      </c>
      <c r="Q99" s="7">
        <f>Table1_2[[#This Row],[Sales]]/Table1_2[[#This Row],[Quantity]]</f>
        <v>183.17875000000001</v>
      </c>
      <c r="R99" t="str">
        <f>IF(Table1_2[[#This Row],[Profit]]&gt;0, "YES", "NO")</f>
        <v>YES</v>
      </c>
      <c r="S99" t="str">
        <f>TEXT(Table1_2[[#This Row],[Order Date]], "MMM")</f>
        <v>Sep</v>
      </c>
      <c r="T99" t="str">
        <f>TEXT(Table1_2[[#This Row],[Ship Date]],"YYYY")</f>
        <v>2023</v>
      </c>
      <c r="U99" s="1">
        <f>MONTH(1&amp;Table1_2[[#This Row],[Month]])</f>
        <v>9</v>
      </c>
    </row>
    <row r="100" spans="1:21" x14ac:dyDescent="0.3">
      <c r="A100" t="s">
        <v>113</v>
      </c>
      <c r="B100" s="2">
        <v>44672</v>
      </c>
      <c r="C100" s="2">
        <v>44421</v>
      </c>
      <c r="D100" t="s">
        <v>350</v>
      </c>
      <c r="E100" t="s">
        <v>360</v>
      </c>
      <c r="F100" t="s">
        <v>364</v>
      </c>
      <c r="G100" s="1" t="s">
        <v>415</v>
      </c>
      <c r="H100" s="1" t="s">
        <v>415</v>
      </c>
      <c r="I100" s="1" t="s">
        <v>385</v>
      </c>
      <c r="J100" t="s">
        <v>387</v>
      </c>
      <c r="K100" t="str">
        <f ca="1">TRIM(Table1_2[[#This Row],[Sub-Category]])</f>
        <v>Chairs</v>
      </c>
      <c r="L100" s="5">
        <v>1613.12</v>
      </c>
      <c r="M100">
        <v>4</v>
      </c>
      <c r="N100" s="17">
        <v>0.21</v>
      </c>
      <c r="O100" s="5">
        <v>348</v>
      </c>
      <c r="P100" s="8">
        <f>IF(Table1_2[[#This Row],[Sales]]=0, 0,Table1_2[[#This Row],[Profit]]/Table1_2[[#This Row],[Sales]])</f>
        <v>0.21573100575282683</v>
      </c>
      <c r="Q100" s="7">
        <f>Table1_2[[#This Row],[Sales]]/Table1_2[[#This Row],[Quantity]]</f>
        <v>403.28</v>
      </c>
      <c r="R100" t="str">
        <f>IF(Table1_2[[#This Row],[Profit]]&gt;0, "YES", "NO")</f>
        <v>YES</v>
      </c>
      <c r="S100" t="str">
        <f>TEXT(Table1_2[[#This Row],[Order Date]], "MMM")</f>
        <v>Apr</v>
      </c>
      <c r="T100" t="str">
        <f>TEXT(Table1_2[[#This Row],[Ship Date]],"YYYY")</f>
        <v>2021</v>
      </c>
      <c r="U100" s="1">
        <f>MONTH(1&amp;Table1_2[[#This Row],[Month]])</f>
        <v>4</v>
      </c>
    </row>
    <row r="101" spans="1:21" x14ac:dyDescent="0.3">
      <c r="A101" t="s">
        <v>114</v>
      </c>
      <c r="B101" s="2">
        <v>44438</v>
      </c>
      <c r="C101" s="2">
        <v>44861</v>
      </c>
      <c r="D101" t="s">
        <v>349</v>
      </c>
      <c r="E101" t="s">
        <v>360</v>
      </c>
      <c r="F101" t="s">
        <v>362</v>
      </c>
      <c r="G101" s="1" t="s">
        <v>373</v>
      </c>
      <c r="H101" s="1" t="s">
        <v>379</v>
      </c>
      <c r="I101" s="1" t="s">
        <v>384</v>
      </c>
      <c r="J101" t="s">
        <v>372</v>
      </c>
      <c r="K101" t="str">
        <f ca="1">TRIM(Table1_2[[#This Row],[Sub-Category]])</f>
        <v>Accessories</v>
      </c>
      <c r="L101" s="5">
        <v>259</v>
      </c>
      <c r="M101">
        <v>3</v>
      </c>
      <c r="N101" s="17">
        <v>0.04</v>
      </c>
      <c r="O101" s="5">
        <v>154.91</v>
      </c>
      <c r="P101" s="8">
        <f>IF(Table1_2[[#This Row],[Sales]]=0, 0,Table1_2[[#This Row],[Profit]]/Table1_2[[#This Row],[Sales]])</f>
        <v>0.59810810810810811</v>
      </c>
      <c r="Q101" s="7">
        <f>Table1_2[[#This Row],[Sales]]/Table1_2[[#This Row],[Quantity]]</f>
        <v>86.333333333333329</v>
      </c>
      <c r="R101" t="str">
        <f>IF(Table1_2[[#This Row],[Profit]]&gt;0, "YES", "NO")</f>
        <v>YES</v>
      </c>
      <c r="S101" t="str">
        <f>TEXT(Table1_2[[#This Row],[Order Date]], "MMM")</f>
        <v>Aug</v>
      </c>
      <c r="T101" t="str">
        <f>TEXT(Table1_2[[#This Row],[Ship Date]],"YYYY")</f>
        <v>2022</v>
      </c>
      <c r="U101" s="1">
        <f>MONTH(1&amp;Table1_2[[#This Row],[Month]])</f>
        <v>8</v>
      </c>
    </row>
    <row r="102" spans="1:21" x14ac:dyDescent="0.3">
      <c r="A102" t="s">
        <v>115</v>
      </c>
      <c r="B102" s="2">
        <v>44285</v>
      </c>
      <c r="C102" s="2">
        <v>44650</v>
      </c>
      <c r="D102" t="s">
        <v>350</v>
      </c>
      <c r="E102" t="s">
        <v>355</v>
      </c>
      <c r="F102" t="s">
        <v>362</v>
      </c>
      <c r="G102" s="1" t="s">
        <v>371</v>
      </c>
      <c r="H102" s="1" t="s">
        <v>415</v>
      </c>
      <c r="I102" s="1" t="s">
        <v>385</v>
      </c>
      <c r="J102" t="s">
        <v>388</v>
      </c>
      <c r="K102" t="str">
        <f ca="1">TRIM(Table1_2[[#This Row],[Sub-Category]])</f>
        <v>Paper</v>
      </c>
      <c r="L102" s="5">
        <v>182.62</v>
      </c>
      <c r="M102">
        <v>9</v>
      </c>
      <c r="N102" s="17">
        <v>0.51</v>
      </c>
      <c r="O102" s="5">
        <v>523</v>
      </c>
      <c r="P102" s="8">
        <f>IF(Table1_2[[#This Row],[Sales]]=0, 0,Table1_2[[#This Row],[Profit]]/Table1_2[[#This Row],[Sales]])</f>
        <v>2.8638703318366003</v>
      </c>
      <c r="Q102" s="7">
        <f>Table1_2[[#This Row],[Sales]]/Table1_2[[#This Row],[Quantity]]</f>
        <v>20.29111111111111</v>
      </c>
      <c r="R102" t="str">
        <f>IF(Table1_2[[#This Row],[Profit]]&gt;0, "YES", "NO")</f>
        <v>YES</v>
      </c>
      <c r="S102" t="str">
        <f>TEXT(Table1_2[[#This Row],[Order Date]], "MMM")</f>
        <v>Mar</v>
      </c>
      <c r="T102" t="str">
        <f>TEXT(Table1_2[[#This Row],[Ship Date]],"YYYY")</f>
        <v>2022</v>
      </c>
      <c r="U102" s="1">
        <f>MONTH(1&amp;Table1_2[[#This Row],[Month]])</f>
        <v>3</v>
      </c>
    </row>
    <row r="103" spans="1:21" x14ac:dyDescent="0.3">
      <c r="A103" t="s">
        <v>116</v>
      </c>
      <c r="B103" s="2">
        <v>44766</v>
      </c>
      <c r="C103" s="2">
        <v>44309</v>
      </c>
      <c r="D103" t="s">
        <v>352</v>
      </c>
      <c r="E103" t="s">
        <v>354</v>
      </c>
      <c r="F103" t="s">
        <v>363</v>
      </c>
      <c r="G103" s="1" t="s">
        <v>366</v>
      </c>
      <c r="H103" s="1" t="s">
        <v>415</v>
      </c>
      <c r="I103" s="1" t="s">
        <v>383</v>
      </c>
      <c r="J103" t="s">
        <v>387</v>
      </c>
      <c r="K103" t="str">
        <f ca="1">TRIM(Table1_2[[#This Row],[Sub-Category]])</f>
        <v>Chairs</v>
      </c>
      <c r="L103" s="5">
        <v>1899.65</v>
      </c>
      <c r="M103">
        <v>9</v>
      </c>
      <c r="N103" s="17">
        <v>0.12</v>
      </c>
      <c r="O103" s="5">
        <v>181</v>
      </c>
      <c r="P103" s="8">
        <f>IF(Table1_2[[#This Row],[Sales]]=0, 0,Table1_2[[#This Row],[Profit]]/Table1_2[[#This Row],[Sales]])</f>
        <v>9.5280709604400812E-2</v>
      </c>
      <c r="Q103" s="7">
        <f>Table1_2[[#This Row],[Sales]]/Table1_2[[#This Row],[Quantity]]</f>
        <v>211.07222222222222</v>
      </c>
      <c r="R103" t="str">
        <f>IF(Table1_2[[#This Row],[Profit]]&gt;0, "YES", "NO")</f>
        <v>YES</v>
      </c>
      <c r="S103" t="str">
        <f>TEXT(Table1_2[[#This Row],[Order Date]], "MMM")</f>
        <v>Jul</v>
      </c>
      <c r="T103" t="str">
        <f>TEXT(Table1_2[[#This Row],[Ship Date]],"YYYY")</f>
        <v>2021</v>
      </c>
      <c r="U103" s="1">
        <f>MONTH(1&amp;Table1_2[[#This Row],[Month]])</f>
        <v>7</v>
      </c>
    </row>
    <row r="104" spans="1:21" x14ac:dyDescent="0.3">
      <c r="A104" t="s">
        <v>117</v>
      </c>
      <c r="B104" s="2">
        <v>44427</v>
      </c>
      <c r="C104" s="2">
        <v>44908</v>
      </c>
      <c r="D104" t="s">
        <v>350</v>
      </c>
      <c r="E104" t="s">
        <v>355</v>
      </c>
      <c r="F104" t="s">
        <v>362</v>
      </c>
      <c r="G104" s="1" t="s">
        <v>373</v>
      </c>
      <c r="H104" s="1" t="s">
        <v>379</v>
      </c>
      <c r="I104" s="1" t="s">
        <v>381</v>
      </c>
      <c r="J104" t="s">
        <v>388</v>
      </c>
      <c r="K104" t="str">
        <f ca="1">TRIM(Table1_2[[#This Row],[Sub-Category]])</f>
        <v>Paper</v>
      </c>
      <c r="L104" s="5">
        <v>931.46</v>
      </c>
      <c r="M104">
        <v>3</v>
      </c>
      <c r="N104" s="17">
        <v>0.02</v>
      </c>
      <c r="O104" s="5">
        <v>184.14</v>
      </c>
      <c r="P104" s="8">
        <f>IF(Table1_2[[#This Row],[Sales]]=0, 0,Table1_2[[#This Row],[Profit]]/Table1_2[[#This Row],[Sales]])</f>
        <v>0.19768964850879261</v>
      </c>
      <c r="Q104" s="7">
        <f>Table1_2[[#This Row],[Sales]]/Table1_2[[#This Row],[Quantity]]</f>
        <v>310.48666666666668</v>
      </c>
      <c r="R104" t="str">
        <f>IF(Table1_2[[#This Row],[Profit]]&gt;0, "YES", "NO")</f>
        <v>YES</v>
      </c>
      <c r="S104" t="str">
        <f>TEXT(Table1_2[[#This Row],[Order Date]], "MMM")</f>
        <v>Aug</v>
      </c>
      <c r="T104" t="str">
        <f>TEXT(Table1_2[[#This Row],[Ship Date]],"YYYY")</f>
        <v>2022</v>
      </c>
      <c r="U104" s="1">
        <f>MONTH(1&amp;Table1_2[[#This Row],[Month]])</f>
        <v>8</v>
      </c>
    </row>
    <row r="105" spans="1:21" x14ac:dyDescent="0.3">
      <c r="A105" t="s">
        <v>118</v>
      </c>
      <c r="B105" s="2">
        <v>44787</v>
      </c>
      <c r="C105" s="2">
        <v>45030</v>
      </c>
      <c r="D105" t="s">
        <v>351</v>
      </c>
      <c r="E105" t="s">
        <v>359</v>
      </c>
      <c r="F105" t="s">
        <v>363</v>
      </c>
      <c r="G105" s="1" t="s">
        <v>370</v>
      </c>
      <c r="H105" s="1" t="s">
        <v>376</v>
      </c>
      <c r="I105" s="1" t="s">
        <v>372</v>
      </c>
      <c r="J105" t="s">
        <v>386</v>
      </c>
      <c r="K105" t="str">
        <f ca="1">TRIM(Table1_2[[#This Row],[Sub-Category]])</f>
        <v>Tables</v>
      </c>
      <c r="L105" s="5">
        <v>1264.17</v>
      </c>
      <c r="M105">
        <v>3</v>
      </c>
      <c r="N105" s="17">
        <v>0.34</v>
      </c>
      <c r="O105" s="5">
        <v>416.97</v>
      </c>
      <c r="P105" s="8">
        <f>IF(Table1_2[[#This Row],[Sales]]=0, 0,Table1_2[[#This Row],[Profit]]/Table1_2[[#This Row],[Sales]])</f>
        <v>0.32983696812928642</v>
      </c>
      <c r="Q105" s="7">
        <f>Table1_2[[#This Row],[Sales]]/Table1_2[[#This Row],[Quantity]]</f>
        <v>421.39000000000004</v>
      </c>
      <c r="R105" t="str">
        <f>IF(Table1_2[[#This Row],[Profit]]&gt;0, "YES", "NO")</f>
        <v>YES</v>
      </c>
      <c r="S105" t="str">
        <f>TEXT(Table1_2[[#This Row],[Order Date]], "MMM")</f>
        <v>Aug</v>
      </c>
      <c r="T105" t="str">
        <f>TEXT(Table1_2[[#This Row],[Ship Date]],"YYYY")</f>
        <v>2023</v>
      </c>
      <c r="U105" s="1">
        <f>MONTH(1&amp;Table1_2[[#This Row],[Month]])</f>
        <v>8</v>
      </c>
    </row>
    <row r="106" spans="1:21" x14ac:dyDescent="0.3">
      <c r="A106" t="s">
        <v>119</v>
      </c>
      <c r="B106" s="2">
        <v>44884</v>
      </c>
      <c r="C106" s="2">
        <v>44773</v>
      </c>
      <c r="D106" t="s">
        <v>350</v>
      </c>
      <c r="E106" t="s">
        <v>355</v>
      </c>
      <c r="F106" t="s">
        <v>364</v>
      </c>
      <c r="G106" s="1" t="s">
        <v>373</v>
      </c>
      <c r="H106" s="1" t="s">
        <v>374</v>
      </c>
      <c r="I106" s="1" t="s">
        <v>381</v>
      </c>
      <c r="J106" t="s">
        <v>388</v>
      </c>
      <c r="K106" t="str">
        <f ca="1">TRIM(Table1_2[[#This Row],[Sub-Category]])</f>
        <v>Tables</v>
      </c>
      <c r="L106" s="5">
        <v>56.29</v>
      </c>
      <c r="M106">
        <v>3</v>
      </c>
      <c r="N106" s="17">
        <v>0.05</v>
      </c>
      <c r="O106" s="5">
        <v>-139</v>
      </c>
      <c r="P106" s="8">
        <f>IF(Table1_2[[#This Row],[Sales]]=0, 0,Table1_2[[#This Row],[Profit]]/Table1_2[[#This Row],[Sales]])</f>
        <v>-2.4693551252442707</v>
      </c>
      <c r="Q106" s="7">
        <f>Table1_2[[#This Row],[Sales]]/Table1_2[[#This Row],[Quantity]]</f>
        <v>18.763333333333332</v>
      </c>
      <c r="R106" t="str">
        <f>IF(Table1_2[[#This Row],[Profit]]&gt;0, "YES", "NO")</f>
        <v>NO</v>
      </c>
      <c r="S106" t="str">
        <f>TEXT(Table1_2[[#This Row],[Order Date]], "MMM")</f>
        <v>Nov</v>
      </c>
      <c r="T106" t="str">
        <f>TEXT(Table1_2[[#This Row],[Ship Date]],"YYYY")</f>
        <v>2022</v>
      </c>
      <c r="U106" s="1">
        <f>MONTH(1&amp;Table1_2[[#This Row],[Month]])</f>
        <v>11</v>
      </c>
    </row>
    <row r="107" spans="1:21" x14ac:dyDescent="0.3">
      <c r="A107" t="s">
        <v>120</v>
      </c>
      <c r="B107" s="2">
        <v>45046</v>
      </c>
      <c r="C107" s="2">
        <v>44374</v>
      </c>
      <c r="D107" t="s">
        <v>349</v>
      </c>
      <c r="E107" t="s">
        <v>358</v>
      </c>
      <c r="F107" t="s">
        <v>364</v>
      </c>
      <c r="G107" s="1" t="s">
        <v>415</v>
      </c>
      <c r="H107" s="1" t="s">
        <v>414</v>
      </c>
      <c r="I107" s="1" t="s">
        <v>381</v>
      </c>
      <c r="J107" t="s">
        <v>386</v>
      </c>
      <c r="K107" t="str">
        <f ca="1">TRIM(Table1_2[[#This Row],[Sub-Category]])</f>
        <v>Paper</v>
      </c>
      <c r="L107" s="5">
        <v>564.63</v>
      </c>
      <c r="M107">
        <v>1</v>
      </c>
      <c r="N107" s="17">
        <v>0.06</v>
      </c>
      <c r="O107" s="5">
        <v>455</v>
      </c>
      <c r="P107" s="8">
        <f>IF(Table1_2[[#This Row],[Sales]]=0, 0,Table1_2[[#This Row],[Profit]]/Table1_2[[#This Row],[Sales]])</f>
        <v>0.80583745107415472</v>
      </c>
      <c r="Q107" s="7">
        <f>Table1_2[[#This Row],[Sales]]/Table1_2[[#This Row],[Quantity]]</f>
        <v>564.63</v>
      </c>
      <c r="R107" t="str">
        <f>IF(Table1_2[[#This Row],[Profit]]&gt;0, "YES", "NO")</f>
        <v>YES</v>
      </c>
      <c r="S107" t="str">
        <f>TEXT(Table1_2[[#This Row],[Order Date]], "MMM")</f>
        <v>Apr</v>
      </c>
      <c r="T107" t="str">
        <f>TEXT(Table1_2[[#This Row],[Ship Date]],"YYYY")</f>
        <v>2021</v>
      </c>
      <c r="U107" s="1">
        <f>MONTH(1&amp;Table1_2[[#This Row],[Month]])</f>
        <v>4</v>
      </c>
    </row>
    <row r="108" spans="1:21" x14ac:dyDescent="0.3">
      <c r="A108" t="s">
        <v>121</v>
      </c>
      <c r="B108" s="2">
        <v>44690</v>
      </c>
      <c r="C108" s="2">
        <v>44353</v>
      </c>
      <c r="D108" t="s">
        <v>350</v>
      </c>
      <c r="E108" t="s">
        <v>353</v>
      </c>
      <c r="F108" t="s">
        <v>362</v>
      </c>
      <c r="G108" s="1" t="s">
        <v>415</v>
      </c>
      <c r="H108" s="1" t="s">
        <v>415</v>
      </c>
      <c r="I108" s="1" t="s">
        <v>383</v>
      </c>
      <c r="J108" t="s">
        <v>372</v>
      </c>
      <c r="K108" t="str">
        <f ca="1">TRIM(Table1_2[[#This Row],[Sub-Category]])</f>
        <v>Paper</v>
      </c>
      <c r="L108" s="5">
        <v>1016</v>
      </c>
      <c r="M108">
        <v>5</v>
      </c>
      <c r="N108" s="17">
        <v>0.48</v>
      </c>
      <c r="O108" s="5">
        <v>304.97000000000003</v>
      </c>
      <c r="P108" s="8">
        <f>IF(Table1_2[[#This Row],[Sales]]=0, 0,Table1_2[[#This Row],[Profit]]/Table1_2[[#This Row],[Sales]])</f>
        <v>0.3001673228346457</v>
      </c>
      <c r="Q108" s="7">
        <f>Table1_2[[#This Row],[Sales]]/Table1_2[[#This Row],[Quantity]]</f>
        <v>203.2</v>
      </c>
      <c r="R108" t="str">
        <f>IF(Table1_2[[#This Row],[Profit]]&gt;0, "YES", "NO")</f>
        <v>YES</v>
      </c>
      <c r="S108" t="str">
        <f>TEXT(Table1_2[[#This Row],[Order Date]], "MMM")</f>
        <v>May</v>
      </c>
      <c r="T108" t="str">
        <f>TEXT(Table1_2[[#This Row],[Ship Date]],"YYYY")</f>
        <v>2021</v>
      </c>
      <c r="U108" s="1">
        <f>MONTH(1&amp;Table1_2[[#This Row],[Month]])</f>
        <v>5</v>
      </c>
    </row>
    <row r="109" spans="1:21" x14ac:dyDescent="0.3">
      <c r="A109" t="s">
        <v>122</v>
      </c>
      <c r="B109" s="2">
        <v>44201</v>
      </c>
      <c r="C109" s="2">
        <v>44621</v>
      </c>
      <c r="D109" t="s">
        <v>350</v>
      </c>
      <c r="E109" t="s">
        <v>359</v>
      </c>
      <c r="F109" t="s">
        <v>364</v>
      </c>
      <c r="G109" s="1" t="s">
        <v>415</v>
      </c>
      <c r="H109" s="1" t="s">
        <v>378</v>
      </c>
      <c r="I109" s="1" t="s">
        <v>382</v>
      </c>
      <c r="J109" t="s">
        <v>372</v>
      </c>
      <c r="K109" t="str">
        <f ca="1">TRIM(Table1_2[[#This Row],[Sub-Category]])</f>
        <v>NA</v>
      </c>
      <c r="L109" s="5">
        <v>1773.57</v>
      </c>
      <c r="M109">
        <v>3</v>
      </c>
      <c r="N109" s="17">
        <v>0.28999999999999998</v>
      </c>
      <c r="O109" s="5">
        <v>253.03</v>
      </c>
      <c r="P109" s="8">
        <f>IF(Table1_2[[#This Row],[Sales]]=0, 0,Table1_2[[#This Row],[Profit]]/Table1_2[[#This Row],[Sales]])</f>
        <v>0.14266705007414424</v>
      </c>
      <c r="Q109" s="7">
        <f>Table1_2[[#This Row],[Sales]]/Table1_2[[#This Row],[Quantity]]</f>
        <v>591.18999999999994</v>
      </c>
      <c r="R109" t="str">
        <f>IF(Table1_2[[#This Row],[Profit]]&gt;0, "YES", "NO")</f>
        <v>YES</v>
      </c>
      <c r="S109" t="str">
        <f>TEXT(Table1_2[[#This Row],[Order Date]], "MMM")</f>
        <v>Jan</v>
      </c>
      <c r="T109" t="str">
        <f>TEXT(Table1_2[[#This Row],[Ship Date]],"YYYY")</f>
        <v>2022</v>
      </c>
      <c r="U109" s="1">
        <f>MONTH(1&amp;Table1_2[[#This Row],[Month]])</f>
        <v>1</v>
      </c>
    </row>
    <row r="110" spans="1:21" x14ac:dyDescent="0.3">
      <c r="A110" t="s">
        <v>123</v>
      </c>
      <c r="B110" s="2">
        <v>44418</v>
      </c>
      <c r="C110" s="2">
        <v>44704</v>
      </c>
      <c r="D110" t="s">
        <v>351</v>
      </c>
      <c r="E110" t="s">
        <v>356</v>
      </c>
      <c r="F110" t="s">
        <v>361</v>
      </c>
      <c r="G110" s="1" t="s">
        <v>370</v>
      </c>
      <c r="H110" s="1" t="s">
        <v>377</v>
      </c>
      <c r="I110" s="1" t="s">
        <v>372</v>
      </c>
      <c r="J110" t="s">
        <v>386</v>
      </c>
      <c r="K110" t="str">
        <f ca="1">TRIM(Table1_2[[#This Row],[Sub-Category]])</f>
        <v>Accessories</v>
      </c>
      <c r="L110" s="5">
        <v>550.16</v>
      </c>
      <c r="M110">
        <v>8</v>
      </c>
      <c r="N110" s="17">
        <v>0.14000000000000001</v>
      </c>
      <c r="O110" s="5">
        <v>519.25</v>
      </c>
      <c r="P110" s="8">
        <f>IF(Table1_2[[#This Row],[Sales]]=0, 0,Table1_2[[#This Row],[Profit]]/Table1_2[[#This Row],[Sales]])</f>
        <v>0.94381634433619321</v>
      </c>
      <c r="Q110" s="7">
        <f>Table1_2[[#This Row],[Sales]]/Table1_2[[#This Row],[Quantity]]</f>
        <v>68.77</v>
      </c>
      <c r="R110" t="str">
        <f>IF(Table1_2[[#This Row],[Profit]]&gt;0, "YES", "NO")</f>
        <v>YES</v>
      </c>
      <c r="S110" t="str">
        <f>TEXT(Table1_2[[#This Row],[Order Date]], "MMM")</f>
        <v>Aug</v>
      </c>
      <c r="T110" t="str">
        <f>TEXT(Table1_2[[#This Row],[Ship Date]],"YYYY")</f>
        <v>2022</v>
      </c>
      <c r="U110" s="1">
        <f>MONTH(1&amp;Table1_2[[#This Row],[Month]])</f>
        <v>8</v>
      </c>
    </row>
    <row r="111" spans="1:21" x14ac:dyDescent="0.3">
      <c r="A111" t="s">
        <v>124</v>
      </c>
      <c r="B111" s="2">
        <v>45021</v>
      </c>
      <c r="C111" s="2">
        <v>44750</v>
      </c>
      <c r="D111" t="s">
        <v>350</v>
      </c>
      <c r="E111" t="s">
        <v>354</v>
      </c>
      <c r="F111" t="s">
        <v>361</v>
      </c>
      <c r="G111" s="1" t="s">
        <v>371</v>
      </c>
      <c r="H111" s="1" t="s">
        <v>377</v>
      </c>
      <c r="I111" s="1" t="s">
        <v>372</v>
      </c>
      <c r="J111" t="s">
        <v>372</v>
      </c>
      <c r="K111" t="str">
        <f ca="1">TRIM(Table1_2[[#This Row],[Sub-Category]])</f>
        <v>Phones</v>
      </c>
      <c r="L111" s="5">
        <v>1552.63</v>
      </c>
      <c r="M111">
        <v>2</v>
      </c>
      <c r="N111" s="17">
        <v>0.21</v>
      </c>
      <c r="O111" s="5">
        <v>558.26</v>
      </c>
      <c r="P111" s="8">
        <f>IF(Table1_2[[#This Row],[Sales]]=0, 0,Table1_2[[#This Row],[Profit]]/Table1_2[[#This Row],[Sales]])</f>
        <v>0.35955765378744448</v>
      </c>
      <c r="Q111" s="7">
        <f>Table1_2[[#This Row],[Sales]]/Table1_2[[#This Row],[Quantity]]</f>
        <v>776.31500000000005</v>
      </c>
      <c r="R111" t="str">
        <f>IF(Table1_2[[#This Row],[Profit]]&gt;0, "YES", "NO")</f>
        <v>YES</v>
      </c>
      <c r="S111" t="str">
        <f>TEXT(Table1_2[[#This Row],[Order Date]], "MMM")</f>
        <v>Apr</v>
      </c>
      <c r="T111" t="str">
        <f>TEXT(Table1_2[[#This Row],[Ship Date]],"YYYY")</f>
        <v>2022</v>
      </c>
      <c r="U111" s="1">
        <f>MONTH(1&amp;Table1_2[[#This Row],[Month]])</f>
        <v>4</v>
      </c>
    </row>
    <row r="112" spans="1:21" x14ac:dyDescent="0.3">
      <c r="A112" t="s">
        <v>125</v>
      </c>
      <c r="B112" s="2">
        <v>44730</v>
      </c>
      <c r="C112" s="2">
        <v>44441</v>
      </c>
      <c r="D112" t="s">
        <v>349</v>
      </c>
      <c r="E112" t="s">
        <v>353</v>
      </c>
      <c r="F112" t="s">
        <v>363</v>
      </c>
      <c r="G112" s="1" t="s">
        <v>373</v>
      </c>
      <c r="H112" s="1" t="s">
        <v>376</v>
      </c>
      <c r="I112" s="1" t="s">
        <v>383</v>
      </c>
      <c r="J112" t="s">
        <v>372</v>
      </c>
      <c r="K112" t="str">
        <f ca="1">TRIM(Table1_2[[#This Row],[Sub-Category]])</f>
        <v>Paper</v>
      </c>
      <c r="L112" s="5">
        <v>1328</v>
      </c>
      <c r="M112">
        <v>6</v>
      </c>
      <c r="N112" s="17">
        <v>0.44</v>
      </c>
      <c r="O112" s="5">
        <v>646.26</v>
      </c>
      <c r="P112" s="8">
        <f>IF(Table1_2[[#This Row],[Sales]]=0, 0,Table1_2[[#This Row],[Profit]]/Table1_2[[#This Row],[Sales]])</f>
        <v>0.48664156626506022</v>
      </c>
      <c r="Q112" s="7">
        <f>Table1_2[[#This Row],[Sales]]/Table1_2[[#This Row],[Quantity]]</f>
        <v>221.33333333333334</v>
      </c>
      <c r="R112" t="str">
        <f>IF(Table1_2[[#This Row],[Profit]]&gt;0, "YES", "NO")</f>
        <v>YES</v>
      </c>
      <c r="S112" t="str">
        <f>TEXT(Table1_2[[#This Row],[Order Date]], "MMM")</f>
        <v>Jun</v>
      </c>
      <c r="T112" t="str">
        <f>TEXT(Table1_2[[#This Row],[Ship Date]],"YYYY")</f>
        <v>2021</v>
      </c>
      <c r="U112" s="1">
        <f>MONTH(1&amp;Table1_2[[#This Row],[Month]])</f>
        <v>6</v>
      </c>
    </row>
    <row r="113" spans="1:21" x14ac:dyDescent="0.3">
      <c r="A113" t="s">
        <v>126</v>
      </c>
      <c r="B113" s="2">
        <v>44816</v>
      </c>
      <c r="C113" s="2">
        <v>44698</v>
      </c>
      <c r="D113" t="s">
        <v>349</v>
      </c>
      <c r="E113" t="s">
        <v>354</v>
      </c>
      <c r="F113" t="s">
        <v>363</v>
      </c>
      <c r="G113" s="1" t="s">
        <v>368</v>
      </c>
      <c r="H113" s="1" t="s">
        <v>376</v>
      </c>
      <c r="I113" s="1" t="s">
        <v>381</v>
      </c>
      <c r="J113" t="s">
        <v>386</v>
      </c>
      <c r="K113" t="str">
        <f ca="1">TRIM(Table1_2[[#This Row],[Sub-Category]])</f>
        <v>Chairs</v>
      </c>
      <c r="L113" s="5">
        <v>239</v>
      </c>
      <c r="M113">
        <v>5</v>
      </c>
      <c r="N113" s="17">
        <v>0.04</v>
      </c>
      <c r="O113" s="5">
        <v>175</v>
      </c>
      <c r="P113" s="8">
        <f>IF(Table1_2[[#This Row],[Sales]]=0, 0,Table1_2[[#This Row],[Profit]]/Table1_2[[#This Row],[Sales]])</f>
        <v>0.73221757322175729</v>
      </c>
      <c r="Q113" s="7">
        <f>Table1_2[[#This Row],[Sales]]/Table1_2[[#This Row],[Quantity]]</f>
        <v>47.8</v>
      </c>
      <c r="R113" t="str">
        <f>IF(Table1_2[[#This Row],[Profit]]&gt;0, "YES", "NO")</f>
        <v>YES</v>
      </c>
      <c r="S113" t="str">
        <f>TEXT(Table1_2[[#This Row],[Order Date]], "MMM")</f>
        <v>Sep</v>
      </c>
      <c r="T113" t="str">
        <f>TEXT(Table1_2[[#This Row],[Ship Date]],"YYYY")</f>
        <v>2022</v>
      </c>
      <c r="U113" s="1">
        <f>MONTH(1&amp;Table1_2[[#This Row],[Month]])</f>
        <v>9</v>
      </c>
    </row>
    <row r="114" spans="1:21" x14ac:dyDescent="0.3">
      <c r="A114" t="s">
        <v>127</v>
      </c>
      <c r="B114" s="2">
        <v>44654</v>
      </c>
      <c r="C114" s="2">
        <v>44493</v>
      </c>
      <c r="D114" t="s">
        <v>352</v>
      </c>
      <c r="E114" t="s">
        <v>357</v>
      </c>
      <c r="F114" t="s">
        <v>364</v>
      </c>
      <c r="G114" s="1" t="s">
        <v>369</v>
      </c>
      <c r="H114" s="1" t="s">
        <v>379</v>
      </c>
      <c r="I114" s="1" t="s">
        <v>384</v>
      </c>
      <c r="J114" t="s">
        <v>387</v>
      </c>
      <c r="K114" t="str">
        <f ca="1">TRIM(Table1_2[[#This Row],[Sub-Category]])</f>
        <v>Accessories</v>
      </c>
      <c r="L114" s="5">
        <v>594</v>
      </c>
      <c r="M114">
        <v>6</v>
      </c>
      <c r="N114" s="17">
        <v>7.0000000000000007E-2</v>
      </c>
      <c r="O114" s="5">
        <v>127.04</v>
      </c>
      <c r="P114" s="8">
        <f>IF(Table1_2[[#This Row],[Sales]]=0, 0,Table1_2[[#This Row],[Profit]]/Table1_2[[#This Row],[Sales]])</f>
        <v>0.21387205387205388</v>
      </c>
      <c r="Q114" s="7">
        <f>Table1_2[[#This Row],[Sales]]/Table1_2[[#This Row],[Quantity]]</f>
        <v>99</v>
      </c>
      <c r="R114" t="str">
        <f>IF(Table1_2[[#This Row],[Profit]]&gt;0, "YES", "NO")</f>
        <v>YES</v>
      </c>
      <c r="S114" t="str">
        <f>TEXT(Table1_2[[#This Row],[Order Date]], "MMM")</f>
        <v>Apr</v>
      </c>
      <c r="T114" t="str">
        <f>TEXT(Table1_2[[#This Row],[Ship Date]],"YYYY")</f>
        <v>2021</v>
      </c>
      <c r="U114" s="1">
        <f>MONTH(1&amp;Table1_2[[#This Row],[Month]])</f>
        <v>4</v>
      </c>
    </row>
    <row r="115" spans="1:21" x14ac:dyDescent="0.3">
      <c r="A115" t="s">
        <v>128</v>
      </c>
      <c r="B115" s="2">
        <v>44359</v>
      </c>
      <c r="C115" s="2">
        <v>44884</v>
      </c>
      <c r="D115" t="s">
        <v>349</v>
      </c>
      <c r="E115" t="s">
        <v>354</v>
      </c>
      <c r="F115" t="s">
        <v>363</v>
      </c>
      <c r="G115" s="1" t="s">
        <v>367</v>
      </c>
      <c r="H115" s="1" t="s">
        <v>376</v>
      </c>
      <c r="I115" s="1" t="s">
        <v>384</v>
      </c>
      <c r="J115" t="s">
        <v>387</v>
      </c>
      <c r="K115" t="str">
        <f ca="1">TRIM(Table1_2[[#This Row],[Sub-Category]])</f>
        <v>Paper</v>
      </c>
      <c r="L115" s="5">
        <v>483.35</v>
      </c>
      <c r="M115">
        <v>2</v>
      </c>
      <c r="N115" s="17">
        <v>0.37</v>
      </c>
      <c r="O115" s="5">
        <v>514.34</v>
      </c>
      <c r="P115" s="8">
        <f>IF(Table1_2[[#This Row],[Sales]]=0, 0,Table1_2[[#This Row],[Profit]]/Table1_2[[#This Row],[Sales]])</f>
        <v>1.0641150305161891</v>
      </c>
      <c r="Q115" s="7">
        <f>Table1_2[[#This Row],[Sales]]/Table1_2[[#This Row],[Quantity]]</f>
        <v>241.67500000000001</v>
      </c>
      <c r="R115" t="str">
        <f>IF(Table1_2[[#This Row],[Profit]]&gt;0, "YES", "NO")</f>
        <v>YES</v>
      </c>
      <c r="S115" t="str">
        <f>TEXT(Table1_2[[#This Row],[Order Date]], "MMM")</f>
        <v>Jun</v>
      </c>
      <c r="T115" t="str">
        <f>TEXT(Table1_2[[#This Row],[Ship Date]],"YYYY")</f>
        <v>2022</v>
      </c>
      <c r="U115" s="1">
        <f>MONTH(1&amp;Table1_2[[#This Row],[Month]])</f>
        <v>6</v>
      </c>
    </row>
    <row r="116" spans="1:21" x14ac:dyDescent="0.3">
      <c r="A116" t="s">
        <v>129</v>
      </c>
      <c r="B116" s="2">
        <v>45093</v>
      </c>
      <c r="C116" s="2">
        <v>45172</v>
      </c>
      <c r="D116" t="s">
        <v>351</v>
      </c>
      <c r="E116" t="s">
        <v>354</v>
      </c>
      <c r="F116" t="s">
        <v>363</v>
      </c>
      <c r="G116" s="1" t="s">
        <v>367</v>
      </c>
      <c r="H116" s="1" t="s">
        <v>380</v>
      </c>
      <c r="I116" s="1" t="s">
        <v>385</v>
      </c>
      <c r="J116" t="s">
        <v>388</v>
      </c>
      <c r="K116" t="str">
        <f ca="1">TRIM(Table1_2[[#This Row],[Sub-Category]])</f>
        <v>Binders</v>
      </c>
      <c r="L116" s="5">
        <v>891</v>
      </c>
      <c r="M116">
        <v>5</v>
      </c>
      <c r="N116" s="17">
        <v>0.36</v>
      </c>
      <c r="O116" s="5">
        <v>381.8</v>
      </c>
      <c r="P116" s="8">
        <f>IF(Table1_2[[#This Row],[Sales]]=0, 0,Table1_2[[#This Row],[Profit]]/Table1_2[[#This Row],[Sales]])</f>
        <v>0.42850729517396186</v>
      </c>
      <c r="Q116" s="7">
        <f>Table1_2[[#This Row],[Sales]]/Table1_2[[#This Row],[Quantity]]</f>
        <v>178.2</v>
      </c>
      <c r="R116" t="str">
        <f>IF(Table1_2[[#This Row],[Profit]]&gt;0, "YES", "NO")</f>
        <v>YES</v>
      </c>
      <c r="S116" t="str">
        <f>TEXT(Table1_2[[#This Row],[Order Date]], "MMM")</f>
        <v>Jun</v>
      </c>
      <c r="T116" t="str">
        <f>TEXT(Table1_2[[#This Row],[Ship Date]],"YYYY")</f>
        <v>2023</v>
      </c>
      <c r="U116" s="1">
        <f>MONTH(1&amp;Table1_2[[#This Row],[Month]])</f>
        <v>6</v>
      </c>
    </row>
    <row r="117" spans="1:21" x14ac:dyDescent="0.3">
      <c r="A117" t="s">
        <v>130</v>
      </c>
      <c r="B117" s="2">
        <v>44969</v>
      </c>
      <c r="C117" s="2">
        <v>44850</v>
      </c>
      <c r="D117" t="s">
        <v>349</v>
      </c>
      <c r="E117" t="s">
        <v>355</v>
      </c>
      <c r="F117" t="s">
        <v>362</v>
      </c>
      <c r="G117" s="1" t="s">
        <v>365</v>
      </c>
      <c r="H117" s="1" t="s">
        <v>379</v>
      </c>
      <c r="I117" s="1" t="s">
        <v>382</v>
      </c>
      <c r="J117" t="s">
        <v>372</v>
      </c>
      <c r="K117" t="str">
        <f ca="1">TRIM(Table1_2[[#This Row],[Sub-Category]])</f>
        <v>Accessories</v>
      </c>
      <c r="L117" s="5">
        <v>1274.32</v>
      </c>
      <c r="M117">
        <v>6</v>
      </c>
      <c r="N117" s="17">
        <v>0.57999999999999996</v>
      </c>
      <c r="O117" s="5">
        <v>431.8</v>
      </c>
      <c r="P117" s="8">
        <f>IF(Table1_2[[#This Row],[Sales]]=0, 0,Table1_2[[#This Row],[Profit]]/Table1_2[[#This Row],[Sales]])</f>
        <v>0.3388473852721452</v>
      </c>
      <c r="Q117" s="7">
        <f>Table1_2[[#This Row],[Sales]]/Table1_2[[#This Row],[Quantity]]</f>
        <v>212.38666666666666</v>
      </c>
      <c r="R117" t="str">
        <f>IF(Table1_2[[#This Row],[Profit]]&gt;0, "YES", "NO")</f>
        <v>YES</v>
      </c>
      <c r="S117" t="str">
        <f>TEXT(Table1_2[[#This Row],[Order Date]], "MMM")</f>
        <v>Feb</v>
      </c>
      <c r="T117" t="str">
        <f>TEXT(Table1_2[[#This Row],[Ship Date]],"YYYY")</f>
        <v>2022</v>
      </c>
      <c r="U117" s="1">
        <f>MONTH(1&amp;Table1_2[[#This Row],[Month]])</f>
        <v>2</v>
      </c>
    </row>
    <row r="118" spans="1:21" x14ac:dyDescent="0.3">
      <c r="A118" t="s">
        <v>131</v>
      </c>
      <c r="B118" s="2">
        <v>45192</v>
      </c>
      <c r="C118" s="2">
        <v>44256</v>
      </c>
      <c r="D118" t="s">
        <v>350</v>
      </c>
      <c r="E118" t="s">
        <v>357</v>
      </c>
      <c r="F118" t="s">
        <v>362</v>
      </c>
      <c r="G118" s="1" t="s">
        <v>366</v>
      </c>
      <c r="H118" s="1" t="s">
        <v>374</v>
      </c>
      <c r="I118" s="1" t="s">
        <v>381</v>
      </c>
      <c r="J118" t="s">
        <v>386</v>
      </c>
      <c r="K118" t="str">
        <f ca="1">TRIM(Table1_2[[#This Row],[Sub-Category]])</f>
        <v>Paper</v>
      </c>
      <c r="L118" s="5">
        <v>872.51</v>
      </c>
      <c r="M118">
        <v>4</v>
      </c>
      <c r="N118" s="17">
        <v>0.22</v>
      </c>
      <c r="O118" s="5">
        <v>355.52</v>
      </c>
      <c r="P118" s="8">
        <f>IF(Table1_2[[#This Row],[Sales]]=0, 0,Table1_2[[#This Row],[Profit]]/Table1_2[[#This Row],[Sales]])</f>
        <v>0.40746810924803151</v>
      </c>
      <c r="Q118" s="7">
        <f>Table1_2[[#This Row],[Sales]]/Table1_2[[#This Row],[Quantity]]</f>
        <v>218.1275</v>
      </c>
      <c r="R118" t="str">
        <f>IF(Table1_2[[#This Row],[Profit]]&gt;0, "YES", "NO")</f>
        <v>YES</v>
      </c>
      <c r="S118" t="str">
        <f>TEXT(Table1_2[[#This Row],[Order Date]], "MMM")</f>
        <v>Sep</v>
      </c>
      <c r="T118" t="str">
        <f>TEXT(Table1_2[[#This Row],[Ship Date]],"YYYY")</f>
        <v>2021</v>
      </c>
      <c r="U118" s="1">
        <f>MONTH(1&amp;Table1_2[[#This Row],[Month]])</f>
        <v>9</v>
      </c>
    </row>
    <row r="119" spans="1:21" x14ac:dyDescent="0.3">
      <c r="A119" t="s">
        <v>132</v>
      </c>
      <c r="B119" s="2">
        <v>45052</v>
      </c>
      <c r="C119" s="2">
        <v>45190</v>
      </c>
      <c r="D119" t="s">
        <v>349</v>
      </c>
      <c r="E119" t="s">
        <v>358</v>
      </c>
      <c r="F119" t="s">
        <v>363</v>
      </c>
      <c r="G119" s="1" t="s">
        <v>369</v>
      </c>
      <c r="H119" s="1" t="s">
        <v>377</v>
      </c>
      <c r="I119" s="1" t="s">
        <v>384</v>
      </c>
      <c r="J119" t="s">
        <v>386</v>
      </c>
      <c r="K119" t="str">
        <f ca="1">TRIM(Table1_2[[#This Row],[Sub-Category]])</f>
        <v>NA</v>
      </c>
      <c r="L119" s="5">
        <v>496.63</v>
      </c>
      <c r="M119">
        <v>8</v>
      </c>
      <c r="N119" s="17">
        <v>0.04</v>
      </c>
      <c r="O119" s="5">
        <v>573</v>
      </c>
      <c r="P119" s="8">
        <f>IF(Table1_2[[#This Row],[Sales]]=0, 0,Table1_2[[#This Row],[Profit]]/Table1_2[[#This Row],[Sales]])</f>
        <v>1.1537764532952097</v>
      </c>
      <c r="Q119" s="7">
        <f>Table1_2[[#This Row],[Sales]]/Table1_2[[#This Row],[Quantity]]</f>
        <v>62.078749999999999</v>
      </c>
      <c r="R119" t="str">
        <f>IF(Table1_2[[#This Row],[Profit]]&gt;0, "YES", "NO")</f>
        <v>YES</v>
      </c>
      <c r="S119" t="str">
        <f>TEXT(Table1_2[[#This Row],[Order Date]], "MMM")</f>
        <v>May</v>
      </c>
      <c r="T119" t="str">
        <f>TEXT(Table1_2[[#This Row],[Ship Date]],"YYYY")</f>
        <v>2023</v>
      </c>
      <c r="U119" s="1">
        <f>MONTH(1&amp;Table1_2[[#This Row],[Month]])</f>
        <v>5</v>
      </c>
    </row>
    <row r="120" spans="1:21" x14ac:dyDescent="0.3">
      <c r="A120" t="s">
        <v>133</v>
      </c>
      <c r="B120" s="2">
        <v>44488</v>
      </c>
      <c r="C120" s="2">
        <v>44221</v>
      </c>
      <c r="D120" t="s">
        <v>349</v>
      </c>
      <c r="E120" t="s">
        <v>353</v>
      </c>
      <c r="F120" t="s">
        <v>363</v>
      </c>
      <c r="G120" s="1" t="s">
        <v>366</v>
      </c>
      <c r="H120" s="1" t="s">
        <v>374</v>
      </c>
      <c r="I120" s="1" t="s">
        <v>381</v>
      </c>
      <c r="J120" t="s">
        <v>372</v>
      </c>
      <c r="K120" t="str">
        <f ca="1">TRIM(Table1_2[[#This Row],[Sub-Category]])</f>
        <v>Paper</v>
      </c>
      <c r="L120" s="5">
        <v>1394.8</v>
      </c>
      <c r="M120">
        <v>5</v>
      </c>
      <c r="N120" s="17">
        <v>0.32</v>
      </c>
      <c r="O120" s="5">
        <v>-9.9600000000000009</v>
      </c>
      <c r="P120" s="8">
        <f>IF(Table1_2[[#This Row],[Sales]]=0, 0,Table1_2[[#This Row],[Profit]]/Table1_2[[#This Row],[Sales]])</f>
        <v>-7.1408087180957853E-3</v>
      </c>
      <c r="Q120" s="7">
        <f>Table1_2[[#This Row],[Sales]]/Table1_2[[#This Row],[Quantity]]</f>
        <v>278.95999999999998</v>
      </c>
      <c r="R120" t="str">
        <f>IF(Table1_2[[#This Row],[Profit]]&gt;0, "YES", "NO")</f>
        <v>NO</v>
      </c>
      <c r="S120" t="str">
        <f>TEXT(Table1_2[[#This Row],[Order Date]], "MMM")</f>
        <v>Oct</v>
      </c>
      <c r="T120" t="str">
        <f>TEXT(Table1_2[[#This Row],[Ship Date]],"YYYY")</f>
        <v>2021</v>
      </c>
      <c r="U120" s="1">
        <f>MONTH(1&amp;Table1_2[[#This Row],[Month]])</f>
        <v>10</v>
      </c>
    </row>
    <row r="121" spans="1:21" x14ac:dyDescent="0.3">
      <c r="A121" t="s">
        <v>134</v>
      </c>
      <c r="B121" s="2">
        <v>44451</v>
      </c>
      <c r="C121" s="2">
        <v>45197</v>
      </c>
      <c r="D121" t="s">
        <v>349</v>
      </c>
      <c r="E121" t="s">
        <v>360</v>
      </c>
      <c r="F121" t="s">
        <v>363</v>
      </c>
      <c r="G121" s="1" t="s">
        <v>367</v>
      </c>
      <c r="H121" s="1" t="s">
        <v>375</v>
      </c>
      <c r="I121" s="1" t="s">
        <v>384</v>
      </c>
      <c r="J121" t="s">
        <v>386</v>
      </c>
      <c r="K121" t="str">
        <f ca="1">TRIM(Table1_2[[#This Row],[Sub-Category]])</f>
        <v>Tables</v>
      </c>
      <c r="L121" s="5">
        <v>1173.0999999999999</v>
      </c>
      <c r="M121">
        <v>4</v>
      </c>
      <c r="N121" s="17">
        <v>0.38</v>
      </c>
      <c r="O121" s="5">
        <v>355.71</v>
      </c>
      <c r="P121" s="8">
        <f>IF(Table1_2[[#This Row],[Sales]]=0, 0,Table1_2[[#This Row],[Profit]]/Table1_2[[#This Row],[Sales]])</f>
        <v>0.30322223169380275</v>
      </c>
      <c r="Q121" s="7">
        <f>Table1_2[[#This Row],[Sales]]/Table1_2[[#This Row],[Quantity]]</f>
        <v>293.27499999999998</v>
      </c>
      <c r="R121" t="str">
        <f>IF(Table1_2[[#This Row],[Profit]]&gt;0, "YES", "NO")</f>
        <v>YES</v>
      </c>
      <c r="S121" t="str">
        <f>TEXT(Table1_2[[#This Row],[Order Date]], "MMM")</f>
        <v>Sep</v>
      </c>
      <c r="T121" t="str">
        <f>TEXT(Table1_2[[#This Row],[Ship Date]],"YYYY")</f>
        <v>2023</v>
      </c>
      <c r="U121" s="1">
        <f>MONTH(1&amp;Table1_2[[#This Row],[Month]])</f>
        <v>9</v>
      </c>
    </row>
    <row r="122" spans="1:21" x14ac:dyDescent="0.3">
      <c r="A122" t="s">
        <v>135</v>
      </c>
      <c r="B122" s="2">
        <v>44445</v>
      </c>
      <c r="C122" s="2">
        <v>44229</v>
      </c>
      <c r="D122" t="s">
        <v>349</v>
      </c>
      <c r="E122" t="s">
        <v>358</v>
      </c>
      <c r="F122" t="s">
        <v>362</v>
      </c>
      <c r="G122" s="1" t="s">
        <v>369</v>
      </c>
      <c r="H122" s="1" t="s">
        <v>376</v>
      </c>
      <c r="I122" s="1" t="s">
        <v>372</v>
      </c>
      <c r="J122" t="s">
        <v>388</v>
      </c>
      <c r="K122" t="str">
        <f ca="1">TRIM(Table1_2[[#This Row],[Sub-Category]])</f>
        <v>NA</v>
      </c>
      <c r="L122" s="5">
        <v>1043</v>
      </c>
      <c r="M122">
        <v>1</v>
      </c>
      <c r="N122" s="17">
        <v>0.08</v>
      </c>
      <c r="O122" s="5">
        <v>-41.9</v>
      </c>
      <c r="P122" s="8">
        <f>IF(Table1_2[[#This Row],[Sales]]=0, 0,Table1_2[[#This Row],[Profit]]/Table1_2[[#This Row],[Sales]])</f>
        <v>-4.0172579098753596E-2</v>
      </c>
      <c r="Q122" s="7">
        <f>Table1_2[[#This Row],[Sales]]/Table1_2[[#This Row],[Quantity]]</f>
        <v>1043</v>
      </c>
      <c r="R122" t="str">
        <f>IF(Table1_2[[#This Row],[Profit]]&gt;0, "YES", "NO")</f>
        <v>NO</v>
      </c>
      <c r="S122" t="str">
        <f>TEXT(Table1_2[[#This Row],[Order Date]], "MMM")</f>
        <v>Sep</v>
      </c>
      <c r="T122" t="str">
        <f>TEXT(Table1_2[[#This Row],[Ship Date]],"YYYY")</f>
        <v>2021</v>
      </c>
      <c r="U122" s="1">
        <f>MONTH(1&amp;Table1_2[[#This Row],[Month]])</f>
        <v>9</v>
      </c>
    </row>
    <row r="123" spans="1:21" x14ac:dyDescent="0.3">
      <c r="A123" t="s">
        <v>136</v>
      </c>
      <c r="B123" s="2">
        <v>45115</v>
      </c>
      <c r="C123" s="2">
        <v>44598</v>
      </c>
      <c r="D123" t="s">
        <v>351</v>
      </c>
      <c r="E123" t="s">
        <v>355</v>
      </c>
      <c r="F123" t="s">
        <v>362</v>
      </c>
      <c r="G123" s="1" t="s">
        <v>366</v>
      </c>
      <c r="H123" s="1" t="s">
        <v>414</v>
      </c>
      <c r="I123" s="1" t="s">
        <v>382</v>
      </c>
      <c r="J123" t="s">
        <v>388</v>
      </c>
      <c r="K123" t="str">
        <f ca="1">TRIM(Table1_2[[#This Row],[Sub-Category]])</f>
        <v>Chairs</v>
      </c>
      <c r="L123" s="5">
        <v>1113</v>
      </c>
      <c r="M123">
        <v>2</v>
      </c>
      <c r="N123" s="17">
        <v>0.33</v>
      </c>
      <c r="O123" s="5">
        <v>207.25</v>
      </c>
      <c r="P123" s="8">
        <f>IF(Table1_2[[#This Row],[Sales]]=0, 0,Table1_2[[#This Row],[Profit]]/Table1_2[[#This Row],[Sales]])</f>
        <v>0.1862084456424079</v>
      </c>
      <c r="Q123" s="7">
        <f>Table1_2[[#This Row],[Sales]]/Table1_2[[#This Row],[Quantity]]</f>
        <v>556.5</v>
      </c>
      <c r="R123" t="str">
        <f>IF(Table1_2[[#This Row],[Profit]]&gt;0, "YES", "NO")</f>
        <v>YES</v>
      </c>
      <c r="S123" t="str">
        <f>TEXT(Table1_2[[#This Row],[Order Date]], "MMM")</f>
        <v>Jul</v>
      </c>
      <c r="T123" t="str">
        <f>TEXT(Table1_2[[#This Row],[Ship Date]],"YYYY")</f>
        <v>2022</v>
      </c>
      <c r="U123" s="1">
        <f>MONTH(1&amp;Table1_2[[#This Row],[Month]])</f>
        <v>7</v>
      </c>
    </row>
    <row r="124" spans="1:21" x14ac:dyDescent="0.3">
      <c r="A124" t="s">
        <v>137</v>
      </c>
      <c r="B124" s="2">
        <v>44753</v>
      </c>
      <c r="C124" s="2">
        <v>44303</v>
      </c>
      <c r="D124" t="s">
        <v>350</v>
      </c>
      <c r="E124" t="s">
        <v>360</v>
      </c>
      <c r="F124" t="s">
        <v>363</v>
      </c>
      <c r="G124" s="1" t="s">
        <v>415</v>
      </c>
      <c r="H124" s="1" t="s">
        <v>378</v>
      </c>
      <c r="I124" s="1" t="s">
        <v>372</v>
      </c>
      <c r="J124" t="s">
        <v>386</v>
      </c>
      <c r="K124" t="str">
        <f ca="1">TRIM(Table1_2[[#This Row],[Sub-Category]])</f>
        <v>Tables</v>
      </c>
      <c r="L124" s="5">
        <v>451.58</v>
      </c>
      <c r="M124">
        <v>5</v>
      </c>
      <c r="N124" s="17">
        <v>0.12</v>
      </c>
      <c r="O124" s="5">
        <v>463.99</v>
      </c>
      <c r="P124" s="8">
        <f>IF(Table1_2[[#This Row],[Sales]]=0, 0,Table1_2[[#This Row],[Profit]]/Table1_2[[#This Row],[Sales]])</f>
        <v>1.0274812879224058</v>
      </c>
      <c r="Q124" s="7">
        <f>Table1_2[[#This Row],[Sales]]/Table1_2[[#This Row],[Quantity]]</f>
        <v>90.316000000000003</v>
      </c>
      <c r="R124" t="str">
        <f>IF(Table1_2[[#This Row],[Profit]]&gt;0, "YES", "NO")</f>
        <v>YES</v>
      </c>
      <c r="S124" t="str">
        <f>TEXT(Table1_2[[#This Row],[Order Date]], "MMM")</f>
        <v>Jul</v>
      </c>
      <c r="T124" t="str">
        <f>TEXT(Table1_2[[#This Row],[Ship Date]],"YYYY")</f>
        <v>2021</v>
      </c>
      <c r="U124" s="1">
        <f>MONTH(1&amp;Table1_2[[#This Row],[Month]])</f>
        <v>7</v>
      </c>
    </row>
    <row r="125" spans="1:21" x14ac:dyDescent="0.3">
      <c r="A125" t="s">
        <v>138</v>
      </c>
      <c r="B125" s="2">
        <v>44651</v>
      </c>
      <c r="C125" s="2">
        <v>44293</v>
      </c>
      <c r="D125" t="s">
        <v>350</v>
      </c>
      <c r="E125" t="s">
        <v>359</v>
      </c>
      <c r="F125" t="s">
        <v>363</v>
      </c>
      <c r="G125" s="1" t="s">
        <v>369</v>
      </c>
      <c r="H125" s="1" t="s">
        <v>415</v>
      </c>
      <c r="I125" s="1" t="s">
        <v>383</v>
      </c>
      <c r="J125" t="s">
        <v>386</v>
      </c>
      <c r="K125" t="str">
        <f ca="1">TRIM(Table1_2[[#This Row],[Sub-Category]])</f>
        <v>Tables</v>
      </c>
      <c r="L125" s="5">
        <v>1364.06</v>
      </c>
      <c r="M125">
        <v>4</v>
      </c>
      <c r="N125" s="17">
        <v>0.51</v>
      </c>
      <c r="O125" s="5">
        <v>293.07</v>
      </c>
      <c r="P125" s="8">
        <f>IF(Table1_2[[#This Row],[Sales]]=0, 0,Table1_2[[#This Row],[Profit]]/Table1_2[[#This Row],[Sales]])</f>
        <v>0.21485125287743942</v>
      </c>
      <c r="Q125" s="7">
        <f>Table1_2[[#This Row],[Sales]]/Table1_2[[#This Row],[Quantity]]</f>
        <v>341.01499999999999</v>
      </c>
      <c r="R125" t="str">
        <f>IF(Table1_2[[#This Row],[Profit]]&gt;0, "YES", "NO")</f>
        <v>YES</v>
      </c>
      <c r="S125" t="str">
        <f>TEXT(Table1_2[[#This Row],[Order Date]], "MMM")</f>
        <v>Mar</v>
      </c>
      <c r="T125" t="str">
        <f>TEXT(Table1_2[[#This Row],[Ship Date]],"YYYY")</f>
        <v>2021</v>
      </c>
      <c r="U125" s="1">
        <f>MONTH(1&amp;Table1_2[[#This Row],[Month]])</f>
        <v>3</v>
      </c>
    </row>
    <row r="126" spans="1:21" x14ac:dyDescent="0.3">
      <c r="A126" t="s">
        <v>139</v>
      </c>
      <c r="B126" s="2">
        <v>45165</v>
      </c>
      <c r="C126" s="2">
        <v>44881</v>
      </c>
      <c r="D126" t="s">
        <v>352</v>
      </c>
      <c r="E126" t="s">
        <v>356</v>
      </c>
      <c r="F126" t="s">
        <v>363</v>
      </c>
      <c r="G126" s="1" t="s">
        <v>371</v>
      </c>
      <c r="H126" s="1" t="s">
        <v>375</v>
      </c>
      <c r="I126" s="1" t="s">
        <v>381</v>
      </c>
      <c r="J126" t="s">
        <v>388</v>
      </c>
      <c r="K126" t="str">
        <f ca="1">TRIM(Table1_2[[#This Row],[Sub-Category]])</f>
        <v>Tables</v>
      </c>
      <c r="L126" s="5">
        <v>781.13</v>
      </c>
      <c r="M126">
        <v>8</v>
      </c>
      <c r="N126" s="17">
        <v>0.5</v>
      </c>
      <c r="O126" s="5">
        <v>179.59</v>
      </c>
      <c r="P126" s="8">
        <f>IF(Table1_2[[#This Row],[Sales]]=0, 0,Table1_2[[#This Row],[Profit]]/Table1_2[[#This Row],[Sales]])</f>
        <v>0.22991051425498957</v>
      </c>
      <c r="Q126" s="7">
        <f>Table1_2[[#This Row],[Sales]]/Table1_2[[#This Row],[Quantity]]</f>
        <v>97.641249999999999</v>
      </c>
      <c r="R126" t="str">
        <f>IF(Table1_2[[#This Row],[Profit]]&gt;0, "YES", "NO")</f>
        <v>YES</v>
      </c>
      <c r="S126" t="str">
        <f>TEXT(Table1_2[[#This Row],[Order Date]], "MMM")</f>
        <v>Aug</v>
      </c>
      <c r="T126" t="str">
        <f>TEXT(Table1_2[[#This Row],[Ship Date]],"YYYY")</f>
        <v>2022</v>
      </c>
      <c r="U126" s="1">
        <f>MONTH(1&amp;Table1_2[[#This Row],[Month]])</f>
        <v>8</v>
      </c>
    </row>
    <row r="127" spans="1:21" x14ac:dyDescent="0.3">
      <c r="A127" t="s">
        <v>140</v>
      </c>
      <c r="B127" s="2">
        <v>44800</v>
      </c>
      <c r="C127" s="2">
        <v>44925</v>
      </c>
      <c r="D127" t="s">
        <v>352</v>
      </c>
      <c r="E127" t="s">
        <v>360</v>
      </c>
      <c r="F127" t="s">
        <v>361</v>
      </c>
      <c r="G127" s="1" t="s">
        <v>369</v>
      </c>
      <c r="H127" s="1" t="s">
        <v>414</v>
      </c>
      <c r="I127" s="1" t="s">
        <v>381</v>
      </c>
      <c r="J127" t="s">
        <v>372</v>
      </c>
      <c r="K127" t="str">
        <f ca="1">TRIM(Table1_2[[#This Row],[Sub-Category]])</f>
        <v>Tables</v>
      </c>
      <c r="L127" s="5">
        <v>733.3</v>
      </c>
      <c r="M127">
        <v>8</v>
      </c>
      <c r="N127" s="17">
        <v>0.26</v>
      </c>
      <c r="O127" s="5">
        <v>684.97</v>
      </c>
      <c r="P127" s="8">
        <f>IF(Table1_2[[#This Row],[Sales]]=0, 0,Table1_2[[#This Row],[Profit]]/Table1_2[[#This Row],[Sales]])</f>
        <v>0.93409245874812497</v>
      </c>
      <c r="Q127" s="7">
        <f>Table1_2[[#This Row],[Sales]]/Table1_2[[#This Row],[Quantity]]</f>
        <v>91.662499999999994</v>
      </c>
      <c r="R127" t="str">
        <f>IF(Table1_2[[#This Row],[Profit]]&gt;0, "YES", "NO")</f>
        <v>YES</v>
      </c>
      <c r="S127" t="str">
        <f>TEXT(Table1_2[[#This Row],[Order Date]], "MMM")</f>
        <v>Aug</v>
      </c>
      <c r="T127" t="str">
        <f>TEXT(Table1_2[[#This Row],[Ship Date]],"YYYY")</f>
        <v>2022</v>
      </c>
      <c r="U127" s="1">
        <f>MONTH(1&amp;Table1_2[[#This Row],[Month]])</f>
        <v>8</v>
      </c>
    </row>
    <row r="128" spans="1:21" x14ac:dyDescent="0.3">
      <c r="A128" t="s">
        <v>141</v>
      </c>
      <c r="B128" s="2">
        <v>45106</v>
      </c>
      <c r="C128" s="2">
        <v>44316</v>
      </c>
      <c r="D128" t="s">
        <v>350</v>
      </c>
      <c r="E128" t="s">
        <v>354</v>
      </c>
      <c r="F128" t="s">
        <v>363</v>
      </c>
      <c r="G128" s="1" t="s">
        <v>367</v>
      </c>
      <c r="H128" s="1" t="s">
        <v>374</v>
      </c>
      <c r="I128" s="1" t="s">
        <v>382</v>
      </c>
      <c r="J128" t="s">
        <v>387</v>
      </c>
      <c r="K128" t="str">
        <f ca="1">TRIM(Table1_2[[#This Row],[Sub-Category]])</f>
        <v>NA</v>
      </c>
      <c r="L128" s="5">
        <v>307.97000000000003</v>
      </c>
      <c r="M128">
        <v>2</v>
      </c>
      <c r="N128" s="17">
        <v>0.57999999999999996</v>
      </c>
      <c r="O128" s="5">
        <v>572.83000000000004</v>
      </c>
      <c r="P128" s="8">
        <f>IF(Table1_2[[#This Row],[Sales]]=0, 0,Table1_2[[#This Row],[Profit]]/Table1_2[[#This Row],[Sales]])</f>
        <v>1.8600188330032146</v>
      </c>
      <c r="Q128" s="7">
        <f>Table1_2[[#This Row],[Sales]]/Table1_2[[#This Row],[Quantity]]</f>
        <v>153.98500000000001</v>
      </c>
      <c r="R128" t="str">
        <f>IF(Table1_2[[#This Row],[Profit]]&gt;0, "YES", "NO")</f>
        <v>YES</v>
      </c>
      <c r="S128" t="str">
        <f>TEXT(Table1_2[[#This Row],[Order Date]], "MMM")</f>
        <v>Jun</v>
      </c>
      <c r="T128" t="str">
        <f>TEXT(Table1_2[[#This Row],[Ship Date]],"YYYY")</f>
        <v>2021</v>
      </c>
      <c r="U128" s="1">
        <f>MONTH(1&amp;Table1_2[[#This Row],[Month]])</f>
        <v>6</v>
      </c>
    </row>
    <row r="129" spans="1:21" x14ac:dyDescent="0.3">
      <c r="A129" t="s">
        <v>142</v>
      </c>
      <c r="B129" s="2">
        <v>45269</v>
      </c>
      <c r="C129" s="2">
        <v>45174</v>
      </c>
      <c r="D129" t="s">
        <v>350</v>
      </c>
      <c r="E129" t="s">
        <v>357</v>
      </c>
      <c r="F129" t="s">
        <v>362</v>
      </c>
      <c r="G129" s="1" t="s">
        <v>373</v>
      </c>
      <c r="H129" s="1" t="s">
        <v>414</v>
      </c>
      <c r="I129" s="1" t="s">
        <v>381</v>
      </c>
      <c r="J129" t="s">
        <v>388</v>
      </c>
      <c r="K129" t="str">
        <f ca="1">TRIM(Table1_2[[#This Row],[Sub-Category]])</f>
        <v>Tables</v>
      </c>
      <c r="L129" s="5">
        <v>1197.71</v>
      </c>
      <c r="M129">
        <v>6</v>
      </c>
      <c r="N129" s="17">
        <v>0.59</v>
      </c>
      <c r="O129" s="5">
        <v>326.29000000000002</v>
      </c>
      <c r="P129" s="8">
        <f>IF(Table1_2[[#This Row],[Sales]]=0, 0,Table1_2[[#This Row],[Profit]]/Table1_2[[#This Row],[Sales]])</f>
        <v>0.27242821718112065</v>
      </c>
      <c r="Q129" s="7">
        <f>Table1_2[[#This Row],[Sales]]/Table1_2[[#This Row],[Quantity]]</f>
        <v>199.61833333333334</v>
      </c>
      <c r="R129" t="str">
        <f>IF(Table1_2[[#This Row],[Profit]]&gt;0, "YES", "NO")</f>
        <v>YES</v>
      </c>
      <c r="S129" t="str">
        <f>TEXT(Table1_2[[#This Row],[Order Date]], "MMM")</f>
        <v>Dec</v>
      </c>
      <c r="T129" t="str">
        <f>TEXT(Table1_2[[#This Row],[Ship Date]],"YYYY")</f>
        <v>2023</v>
      </c>
      <c r="U129" s="1">
        <f>MONTH(1&amp;Table1_2[[#This Row],[Month]])</f>
        <v>12</v>
      </c>
    </row>
    <row r="130" spans="1:21" x14ac:dyDescent="0.3">
      <c r="A130" t="s">
        <v>143</v>
      </c>
      <c r="B130" s="2">
        <v>44276</v>
      </c>
      <c r="C130" s="2">
        <v>44518</v>
      </c>
      <c r="D130" t="s">
        <v>350</v>
      </c>
      <c r="E130" t="s">
        <v>357</v>
      </c>
      <c r="F130" t="s">
        <v>361</v>
      </c>
      <c r="G130" s="1" t="s">
        <v>368</v>
      </c>
      <c r="H130" s="1" t="s">
        <v>380</v>
      </c>
      <c r="I130" s="1" t="s">
        <v>384</v>
      </c>
      <c r="J130" t="s">
        <v>387</v>
      </c>
      <c r="K130" t="str">
        <f ca="1">TRIM(Table1_2[[#This Row],[Sub-Category]])</f>
        <v>Tables</v>
      </c>
      <c r="L130" s="5">
        <v>1209</v>
      </c>
      <c r="M130">
        <v>5</v>
      </c>
      <c r="N130" s="17">
        <v>0.08</v>
      </c>
      <c r="O130" s="5">
        <v>750.05</v>
      </c>
      <c r="P130" s="8">
        <f>IF(Table1_2[[#This Row],[Sales]]=0, 0,Table1_2[[#This Row],[Profit]]/Table1_2[[#This Row],[Sales]])</f>
        <v>0.62038875103391233</v>
      </c>
      <c r="Q130" s="7">
        <f>Table1_2[[#This Row],[Sales]]/Table1_2[[#This Row],[Quantity]]</f>
        <v>241.8</v>
      </c>
      <c r="R130" t="str">
        <f>IF(Table1_2[[#This Row],[Profit]]&gt;0, "YES", "NO")</f>
        <v>YES</v>
      </c>
      <c r="S130" t="str">
        <f>TEXT(Table1_2[[#This Row],[Order Date]], "MMM")</f>
        <v>Mar</v>
      </c>
      <c r="T130" t="str">
        <f>TEXT(Table1_2[[#This Row],[Ship Date]],"YYYY")</f>
        <v>2021</v>
      </c>
      <c r="U130" s="1">
        <f>MONTH(1&amp;Table1_2[[#This Row],[Month]])</f>
        <v>3</v>
      </c>
    </row>
    <row r="131" spans="1:21" x14ac:dyDescent="0.3">
      <c r="A131" t="s">
        <v>144</v>
      </c>
      <c r="B131" s="2">
        <v>44558</v>
      </c>
      <c r="C131" s="2">
        <v>44516</v>
      </c>
      <c r="D131" t="s">
        <v>351</v>
      </c>
      <c r="E131" t="s">
        <v>355</v>
      </c>
      <c r="F131" t="s">
        <v>361</v>
      </c>
      <c r="G131" s="1" t="s">
        <v>368</v>
      </c>
      <c r="H131" s="1" t="s">
        <v>414</v>
      </c>
      <c r="I131" s="1" t="s">
        <v>383</v>
      </c>
      <c r="J131" t="s">
        <v>387</v>
      </c>
      <c r="K131" t="str">
        <f ca="1">TRIM(Table1_2[[#This Row],[Sub-Category]])</f>
        <v>Chairs</v>
      </c>
      <c r="L131" s="5">
        <v>687</v>
      </c>
      <c r="M131">
        <v>1</v>
      </c>
      <c r="N131" s="17">
        <v>0.22</v>
      </c>
      <c r="O131" s="5">
        <v>224.37</v>
      </c>
      <c r="P131" s="8">
        <f>IF(Table1_2[[#This Row],[Sales]]=0, 0,Table1_2[[#This Row],[Profit]]/Table1_2[[#This Row],[Sales]])</f>
        <v>0.32659388646288212</v>
      </c>
      <c r="Q131" s="7">
        <f>Table1_2[[#This Row],[Sales]]/Table1_2[[#This Row],[Quantity]]</f>
        <v>687</v>
      </c>
      <c r="R131" t="str">
        <f>IF(Table1_2[[#This Row],[Profit]]&gt;0, "YES", "NO")</f>
        <v>YES</v>
      </c>
      <c r="S131" t="str">
        <f>TEXT(Table1_2[[#This Row],[Order Date]], "MMM")</f>
        <v>Dec</v>
      </c>
      <c r="T131" t="str">
        <f>TEXT(Table1_2[[#This Row],[Ship Date]],"YYYY")</f>
        <v>2021</v>
      </c>
      <c r="U131" s="1">
        <f>MONTH(1&amp;Table1_2[[#This Row],[Month]])</f>
        <v>12</v>
      </c>
    </row>
    <row r="132" spans="1:21" x14ac:dyDescent="0.3">
      <c r="A132" t="s">
        <v>145</v>
      </c>
      <c r="B132" s="2">
        <v>44931</v>
      </c>
      <c r="C132" s="2">
        <v>44494</v>
      </c>
      <c r="D132" t="s">
        <v>350</v>
      </c>
      <c r="E132" t="s">
        <v>359</v>
      </c>
      <c r="F132" t="s">
        <v>363</v>
      </c>
      <c r="G132" s="1" t="s">
        <v>415</v>
      </c>
      <c r="H132" s="1" t="s">
        <v>374</v>
      </c>
      <c r="I132" s="1" t="s">
        <v>385</v>
      </c>
      <c r="J132" t="s">
        <v>388</v>
      </c>
      <c r="K132" t="str">
        <f ca="1">TRIM(Table1_2[[#This Row],[Sub-Category]])</f>
        <v>Phones</v>
      </c>
      <c r="L132" s="5">
        <v>1721.1</v>
      </c>
      <c r="M132">
        <v>6</v>
      </c>
      <c r="N132" s="17">
        <v>0.36</v>
      </c>
      <c r="O132" s="5">
        <v>588.07000000000005</v>
      </c>
      <c r="P132" s="8">
        <f>IF(Table1_2[[#This Row],[Sales]]=0, 0,Table1_2[[#This Row],[Profit]]/Table1_2[[#This Row],[Sales]])</f>
        <v>0.34168264482017319</v>
      </c>
      <c r="Q132" s="7">
        <f>Table1_2[[#This Row],[Sales]]/Table1_2[[#This Row],[Quantity]]</f>
        <v>286.84999999999997</v>
      </c>
      <c r="R132" t="str">
        <f>IF(Table1_2[[#This Row],[Profit]]&gt;0, "YES", "NO")</f>
        <v>YES</v>
      </c>
      <c r="S132" t="str">
        <f>TEXT(Table1_2[[#This Row],[Order Date]], "MMM")</f>
        <v>Jan</v>
      </c>
      <c r="T132" t="str">
        <f>TEXT(Table1_2[[#This Row],[Ship Date]],"YYYY")</f>
        <v>2021</v>
      </c>
      <c r="U132" s="1">
        <f>MONTH(1&amp;Table1_2[[#This Row],[Month]])</f>
        <v>1</v>
      </c>
    </row>
    <row r="133" spans="1:21" x14ac:dyDescent="0.3">
      <c r="A133" t="s">
        <v>146</v>
      </c>
      <c r="B133" s="2">
        <v>45010</v>
      </c>
      <c r="C133" s="2">
        <v>44659</v>
      </c>
      <c r="D133" t="s">
        <v>349</v>
      </c>
      <c r="E133" t="s">
        <v>356</v>
      </c>
      <c r="F133" t="s">
        <v>361</v>
      </c>
      <c r="G133" s="1" t="s">
        <v>366</v>
      </c>
      <c r="H133" s="1" t="s">
        <v>414</v>
      </c>
      <c r="I133" s="1" t="s">
        <v>383</v>
      </c>
      <c r="J133" t="s">
        <v>388</v>
      </c>
      <c r="K133" t="str">
        <f ca="1">TRIM(Table1_2[[#This Row],[Sub-Category]])</f>
        <v>Phones</v>
      </c>
      <c r="L133" s="5">
        <v>1692.46</v>
      </c>
      <c r="M133">
        <v>5</v>
      </c>
      <c r="N133" s="17">
        <v>0.05</v>
      </c>
      <c r="O133" s="5">
        <v>-32.06</v>
      </c>
      <c r="P133" s="8">
        <f>IF(Table1_2[[#This Row],[Sales]]=0, 0,Table1_2[[#This Row],[Profit]]/Table1_2[[#This Row],[Sales]])</f>
        <v>-1.8942840598891557E-2</v>
      </c>
      <c r="Q133" s="7">
        <f>Table1_2[[#This Row],[Sales]]/Table1_2[[#This Row],[Quantity]]</f>
        <v>338.49200000000002</v>
      </c>
      <c r="R133" t="str">
        <f>IF(Table1_2[[#This Row],[Profit]]&gt;0, "YES", "NO")</f>
        <v>NO</v>
      </c>
      <c r="S133" t="str">
        <f>TEXT(Table1_2[[#This Row],[Order Date]], "MMM")</f>
        <v>Mar</v>
      </c>
      <c r="T133" t="str">
        <f>TEXT(Table1_2[[#This Row],[Ship Date]],"YYYY")</f>
        <v>2022</v>
      </c>
      <c r="U133" s="1">
        <f>MONTH(1&amp;Table1_2[[#This Row],[Month]])</f>
        <v>3</v>
      </c>
    </row>
    <row r="134" spans="1:21" x14ac:dyDescent="0.3">
      <c r="A134" t="s">
        <v>147</v>
      </c>
      <c r="B134" s="2">
        <v>44345</v>
      </c>
      <c r="C134" s="2">
        <v>44375</v>
      </c>
      <c r="D134" t="s">
        <v>351</v>
      </c>
      <c r="E134" t="s">
        <v>360</v>
      </c>
      <c r="F134" t="s">
        <v>364</v>
      </c>
      <c r="G134" s="1" t="s">
        <v>369</v>
      </c>
      <c r="H134" s="1" t="s">
        <v>377</v>
      </c>
      <c r="I134" s="1" t="s">
        <v>385</v>
      </c>
      <c r="J134" t="s">
        <v>388</v>
      </c>
      <c r="K134" t="str">
        <f ca="1">TRIM(Table1_2[[#This Row],[Sub-Category]])</f>
        <v>Chairs</v>
      </c>
      <c r="L134" s="5">
        <v>227.02</v>
      </c>
      <c r="M134">
        <v>1</v>
      </c>
      <c r="N134" s="17">
        <v>0.23</v>
      </c>
      <c r="O134" s="5">
        <v>86</v>
      </c>
      <c r="P134" s="8">
        <f>IF(Table1_2[[#This Row],[Sales]]=0, 0,Table1_2[[#This Row],[Profit]]/Table1_2[[#This Row],[Sales]])</f>
        <v>0.37882124922914279</v>
      </c>
      <c r="Q134" s="7">
        <f>Table1_2[[#This Row],[Sales]]/Table1_2[[#This Row],[Quantity]]</f>
        <v>227.02</v>
      </c>
      <c r="R134" t="str">
        <f>IF(Table1_2[[#This Row],[Profit]]&gt;0, "YES", "NO")</f>
        <v>YES</v>
      </c>
      <c r="S134" t="str">
        <f>TEXT(Table1_2[[#This Row],[Order Date]], "MMM")</f>
        <v>May</v>
      </c>
      <c r="T134" t="str">
        <f>TEXT(Table1_2[[#This Row],[Ship Date]],"YYYY")</f>
        <v>2021</v>
      </c>
      <c r="U134" s="1">
        <f>MONTH(1&amp;Table1_2[[#This Row],[Month]])</f>
        <v>5</v>
      </c>
    </row>
    <row r="135" spans="1:21" x14ac:dyDescent="0.3">
      <c r="A135" t="s">
        <v>148</v>
      </c>
      <c r="B135" s="2">
        <v>44515</v>
      </c>
      <c r="C135" s="2">
        <v>44595</v>
      </c>
      <c r="D135" t="s">
        <v>349</v>
      </c>
      <c r="E135" t="s">
        <v>359</v>
      </c>
      <c r="F135" t="s">
        <v>363</v>
      </c>
      <c r="G135" s="1" t="s">
        <v>371</v>
      </c>
      <c r="H135" s="1" t="s">
        <v>375</v>
      </c>
      <c r="I135" s="1" t="s">
        <v>382</v>
      </c>
      <c r="J135" t="s">
        <v>388</v>
      </c>
      <c r="K135" t="str">
        <f ca="1">TRIM(Table1_2[[#This Row],[Sub-Category]])</f>
        <v>Paper</v>
      </c>
      <c r="L135" s="5">
        <v>1393.13</v>
      </c>
      <c r="M135">
        <v>5</v>
      </c>
      <c r="N135" s="17">
        <v>0.16</v>
      </c>
      <c r="O135" s="5">
        <v>138.09</v>
      </c>
      <c r="P135" s="8">
        <f>IF(Table1_2[[#This Row],[Sales]]=0, 0,Table1_2[[#This Row],[Profit]]/Table1_2[[#This Row],[Sales]])</f>
        <v>9.9122120692254123E-2</v>
      </c>
      <c r="Q135" s="7">
        <f>Table1_2[[#This Row],[Sales]]/Table1_2[[#This Row],[Quantity]]</f>
        <v>278.62600000000003</v>
      </c>
      <c r="R135" t="str">
        <f>IF(Table1_2[[#This Row],[Profit]]&gt;0, "YES", "NO")</f>
        <v>YES</v>
      </c>
      <c r="S135" t="str">
        <f>TEXT(Table1_2[[#This Row],[Order Date]], "MMM")</f>
        <v>Nov</v>
      </c>
      <c r="T135" t="str">
        <f>TEXT(Table1_2[[#This Row],[Ship Date]],"YYYY")</f>
        <v>2022</v>
      </c>
      <c r="U135" s="1">
        <f>MONTH(1&amp;Table1_2[[#This Row],[Month]])</f>
        <v>11</v>
      </c>
    </row>
    <row r="136" spans="1:21" x14ac:dyDescent="0.3">
      <c r="A136" t="s">
        <v>149</v>
      </c>
      <c r="B136" s="2">
        <v>44745</v>
      </c>
      <c r="C136" s="2">
        <v>44407</v>
      </c>
      <c r="D136" t="s">
        <v>349</v>
      </c>
      <c r="E136" t="s">
        <v>355</v>
      </c>
      <c r="F136" t="s">
        <v>362</v>
      </c>
      <c r="G136" s="1" t="s">
        <v>415</v>
      </c>
      <c r="H136" s="1" t="s">
        <v>380</v>
      </c>
      <c r="I136" s="1" t="s">
        <v>385</v>
      </c>
      <c r="J136" t="s">
        <v>386</v>
      </c>
      <c r="K136" t="str">
        <f ca="1">TRIM(Table1_2[[#This Row],[Sub-Category]])</f>
        <v>Tables</v>
      </c>
      <c r="L136" s="5">
        <v>794</v>
      </c>
      <c r="M136">
        <v>7</v>
      </c>
      <c r="N136" s="17">
        <v>0.56999999999999995</v>
      </c>
      <c r="O136" s="5">
        <v>-94.18</v>
      </c>
      <c r="P136" s="8">
        <f>IF(Table1_2[[#This Row],[Sales]]=0, 0,Table1_2[[#This Row],[Profit]]/Table1_2[[#This Row],[Sales]])</f>
        <v>-0.11861460957178842</v>
      </c>
      <c r="Q136" s="7">
        <f>Table1_2[[#This Row],[Sales]]/Table1_2[[#This Row],[Quantity]]</f>
        <v>113.42857142857143</v>
      </c>
      <c r="R136" t="str">
        <f>IF(Table1_2[[#This Row],[Profit]]&gt;0, "YES", "NO")</f>
        <v>NO</v>
      </c>
      <c r="S136" t="str">
        <f>TEXT(Table1_2[[#This Row],[Order Date]], "MMM")</f>
        <v>Jul</v>
      </c>
      <c r="T136" t="str">
        <f>TEXT(Table1_2[[#This Row],[Ship Date]],"YYYY")</f>
        <v>2021</v>
      </c>
      <c r="U136" s="1">
        <f>MONTH(1&amp;Table1_2[[#This Row],[Month]])</f>
        <v>7</v>
      </c>
    </row>
    <row r="137" spans="1:21" x14ac:dyDescent="0.3">
      <c r="A137" t="s">
        <v>150</v>
      </c>
      <c r="B137" s="2">
        <v>44996</v>
      </c>
      <c r="C137" s="2">
        <v>44249</v>
      </c>
      <c r="D137" t="s">
        <v>349</v>
      </c>
      <c r="E137" t="s">
        <v>355</v>
      </c>
      <c r="F137" t="s">
        <v>364</v>
      </c>
      <c r="G137" s="1" t="s">
        <v>365</v>
      </c>
      <c r="H137" s="1" t="s">
        <v>415</v>
      </c>
      <c r="I137" s="1" t="s">
        <v>372</v>
      </c>
      <c r="J137" t="s">
        <v>387</v>
      </c>
      <c r="K137" t="str">
        <f ca="1">TRIM(Table1_2[[#This Row],[Sub-Category]])</f>
        <v>NA</v>
      </c>
      <c r="L137" s="5">
        <v>1999.43</v>
      </c>
      <c r="M137">
        <v>3</v>
      </c>
      <c r="N137" s="17">
        <v>0.25</v>
      </c>
      <c r="O137" s="5">
        <v>301.8</v>
      </c>
      <c r="P137" s="8">
        <f>IF(Table1_2[[#This Row],[Sales]]=0, 0,Table1_2[[#This Row],[Profit]]/Table1_2[[#This Row],[Sales]])</f>
        <v>0.15094301876034669</v>
      </c>
      <c r="Q137" s="7">
        <f>Table1_2[[#This Row],[Sales]]/Table1_2[[#This Row],[Quantity]]</f>
        <v>666.47666666666669</v>
      </c>
      <c r="R137" t="str">
        <f>IF(Table1_2[[#This Row],[Profit]]&gt;0, "YES", "NO")</f>
        <v>YES</v>
      </c>
      <c r="S137" t="str">
        <f>TEXT(Table1_2[[#This Row],[Order Date]], "MMM")</f>
        <v>Mar</v>
      </c>
      <c r="T137" t="str">
        <f>TEXT(Table1_2[[#This Row],[Ship Date]],"YYYY")</f>
        <v>2021</v>
      </c>
      <c r="U137" s="1">
        <f>MONTH(1&amp;Table1_2[[#This Row],[Month]])</f>
        <v>3</v>
      </c>
    </row>
    <row r="138" spans="1:21" x14ac:dyDescent="0.3">
      <c r="A138" t="s">
        <v>151</v>
      </c>
      <c r="B138" s="2">
        <v>44309</v>
      </c>
      <c r="C138" s="2">
        <v>44566</v>
      </c>
      <c r="D138" t="s">
        <v>352</v>
      </c>
      <c r="E138" t="s">
        <v>360</v>
      </c>
      <c r="F138" t="s">
        <v>363</v>
      </c>
      <c r="G138" s="1" t="s">
        <v>371</v>
      </c>
      <c r="H138" s="1" t="s">
        <v>380</v>
      </c>
      <c r="I138" s="1" t="s">
        <v>384</v>
      </c>
      <c r="J138" t="s">
        <v>387</v>
      </c>
      <c r="K138" t="str">
        <f ca="1">TRIM(Table1_2[[#This Row],[Sub-Category]])</f>
        <v>Tables</v>
      </c>
      <c r="L138" s="5">
        <v>457.8</v>
      </c>
      <c r="M138">
        <v>4</v>
      </c>
      <c r="N138" s="17">
        <v>0.46</v>
      </c>
      <c r="O138" s="5">
        <v>-8</v>
      </c>
      <c r="P138" s="8">
        <f>IF(Table1_2[[#This Row],[Sales]]=0, 0,Table1_2[[#This Row],[Profit]]/Table1_2[[#This Row],[Sales]])</f>
        <v>-1.7474879860200961E-2</v>
      </c>
      <c r="Q138" s="7">
        <f>Table1_2[[#This Row],[Sales]]/Table1_2[[#This Row],[Quantity]]</f>
        <v>114.45</v>
      </c>
      <c r="R138" t="str">
        <f>IF(Table1_2[[#This Row],[Profit]]&gt;0, "YES", "NO")</f>
        <v>NO</v>
      </c>
      <c r="S138" t="str">
        <f>TEXT(Table1_2[[#This Row],[Order Date]], "MMM")</f>
        <v>Apr</v>
      </c>
      <c r="T138" t="str">
        <f>TEXT(Table1_2[[#This Row],[Ship Date]],"YYYY")</f>
        <v>2022</v>
      </c>
      <c r="U138" s="1">
        <f>MONTH(1&amp;Table1_2[[#This Row],[Month]])</f>
        <v>4</v>
      </c>
    </row>
    <row r="139" spans="1:21" x14ac:dyDescent="0.3">
      <c r="A139" t="s">
        <v>152</v>
      </c>
      <c r="B139" s="2">
        <v>44797</v>
      </c>
      <c r="C139" s="2">
        <v>44870</v>
      </c>
      <c r="D139" t="s">
        <v>349</v>
      </c>
      <c r="E139" t="s">
        <v>358</v>
      </c>
      <c r="F139" t="s">
        <v>364</v>
      </c>
      <c r="G139" s="1" t="s">
        <v>369</v>
      </c>
      <c r="H139" s="1" t="s">
        <v>375</v>
      </c>
      <c r="I139" s="1" t="s">
        <v>372</v>
      </c>
      <c r="J139" t="s">
        <v>388</v>
      </c>
      <c r="K139" t="str">
        <f ca="1">TRIM(Table1_2[[#This Row],[Sub-Category]])</f>
        <v>Tables</v>
      </c>
      <c r="L139" s="5">
        <v>568</v>
      </c>
      <c r="M139">
        <v>1</v>
      </c>
      <c r="N139" s="17">
        <v>0.23</v>
      </c>
      <c r="O139" s="5">
        <v>434.19</v>
      </c>
      <c r="P139" s="8">
        <f>IF(Table1_2[[#This Row],[Sales]]=0, 0,Table1_2[[#This Row],[Profit]]/Table1_2[[#This Row],[Sales]])</f>
        <v>0.76441901408450708</v>
      </c>
      <c r="Q139" s="7">
        <f>Table1_2[[#This Row],[Sales]]/Table1_2[[#This Row],[Quantity]]</f>
        <v>568</v>
      </c>
      <c r="R139" t="str">
        <f>IF(Table1_2[[#This Row],[Profit]]&gt;0, "YES", "NO")</f>
        <v>YES</v>
      </c>
      <c r="S139" t="str">
        <f>TEXT(Table1_2[[#This Row],[Order Date]], "MMM")</f>
        <v>Aug</v>
      </c>
      <c r="T139" t="str">
        <f>TEXT(Table1_2[[#This Row],[Ship Date]],"YYYY")</f>
        <v>2022</v>
      </c>
      <c r="U139" s="1">
        <f>MONTH(1&amp;Table1_2[[#This Row],[Month]])</f>
        <v>8</v>
      </c>
    </row>
    <row r="140" spans="1:21" x14ac:dyDescent="0.3">
      <c r="A140" t="s">
        <v>153</v>
      </c>
      <c r="B140" s="2">
        <v>44493</v>
      </c>
      <c r="C140" s="2">
        <v>44961</v>
      </c>
      <c r="D140" t="s">
        <v>350</v>
      </c>
      <c r="E140" t="s">
        <v>353</v>
      </c>
      <c r="F140" t="s">
        <v>364</v>
      </c>
      <c r="G140" s="1" t="s">
        <v>415</v>
      </c>
      <c r="H140" s="1" t="s">
        <v>376</v>
      </c>
      <c r="I140" s="1" t="s">
        <v>384</v>
      </c>
      <c r="J140" t="s">
        <v>387</v>
      </c>
      <c r="K140" t="str">
        <f ca="1">TRIM(Table1_2[[#This Row],[Sub-Category]])</f>
        <v>Paper</v>
      </c>
      <c r="L140" s="5">
        <v>890</v>
      </c>
      <c r="M140">
        <v>2</v>
      </c>
      <c r="N140" s="17">
        <v>0.08</v>
      </c>
      <c r="O140" s="5">
        <v>-9.91</v>
      </c>
      <c r="P140" s="8">
        <f>IF(Table1_2[[#This Row],[Sales]]=0, 0,Table1_2[[#This Row],[Profit]]/Table1_2[[#This Row],[Sales]])</f>
        <v>-1.1134831460674158E-2</v>
      </c>
      <c r="Q140" s="7">
        <f>Table1_2[[#This Row],[Sales]]/Table1_2[[#This Row],[Quantity]]</f>
        <v>445</v>
      </c>
      <c r="R140" t="str">
        <f>IF(Table1_2[[#This Row],[Profit]]&gt;0, "YES", "NO")</f>
        <v>NO</v>
      </c>
      <c r="S140" t="str">
        <f>TEXT(Table1_2[[#This Row],[Order Date]], "MMM")</f>
        <v>Oct</v>
      </c>
      <c r="T140" t="str">
        <f>TEXT(Table1_2[[#This Row],[Ship Date]],"YYYY")</f>
        <v>2023</v>
      </c>
      <c r="U140" s="1">
        <f>MONTH(1&amp;Table1_2[[#This Row],[Month]])</f>
        <v>10</v>
      </c>
    </row>
    <row r="141" spans="1:21" x14ac:dyDescent="0.3">
      <c r="A141" t="s">
        <v>154</v>
      </c>
      <c r="B141" s="2">
        <v>44324</v>
      </c>
      <c r="C141" s="2">
        <v>44551</v>
      </c>
      <c r="D141" t="s">
        <v>351</v>
      </c>
      <c r="E141" t="s">
        <v>359</v>
      </c>
      <c r="F141" t="s">
        <v>361</v>
      </c>
      <c r="G141" s="1" t="s">
        <v>371</v>
      </c>
      <c r="H141" s="1" t="s">
        <v>378</v>
      </c>
      <c r="I141" s="1" t="s">
        <v>372</v>
      </c>
      <c r="J141" t="s">
        <v>387</v>
      </c>
      <c r="K141" t="str">
        <f ca="1">TRIM(Table1_2[[#This Row],[Sub-Category]])</f>
        <v>Chairs</v>
      </c>
      <c r="L141" s="5">
        <v>545</v>
      </c>
      <c r="M141">
        <v>9</v>
      </c>
      <c r="N141" s="17">
        <v>0.52</v>
      </c>
      <c r="O141" s="5">
        <v>-76.489999999999995</v>
      </c>
      <c r="P141" s="8">
        <f>IF(Table1_2[[#This Row],[Sales]]=0, 0,Table1_2[[#This Row],[Profit]]/Table1_2[[#This Row],[Sales]])</f>
        <v>-0.14034862385321101</v>
      </c>
      <c r="Q141" s="7">
        <f>Table1_2[[#This Row],[Sales]]/Table1_2[[#This Row],[Quantity]]</f>
        <v>60.555555555555557</v>
      </c>
      <c r="R141" t="str">
        <f>IF(Table1_2[[#This Row],[Profit]]&gt;0, "YES", "NO")</f>
        <v>NO</v>
      </c>
      <c r="S141" t="str">
        <f>TEXT(Table1_2[[#This Row],[Order Date]], "MMM")</f>
        <v>May</v>
      </c>
      <c r="T141" t="str">
        <f>TEXT(Table1_2[[#This Row],[Ship Date]],"YYYY")</f>
        <v>2021</v>
      </c>
      <c r="U141" s="1">
        <f>MONTH(1&amp;Table1_2[[#This Row],[Month]])</f>
        <v>5</v>
      </c>
    </row>
    <row r="142" spans="1:21" x14ac:dyDescent="0.3">
      <c r="A142" t="s">
        <v>155</v>
      </c>
      <c r="B142" s="2">
        <v>44712</v>
      </c>
      <c r="C142" s="2">
        <v>44521</v>
      </c>
      <c r="D142" t="s">
        <v>350</v>
      </c>
      <c r="E142" t="s">
        <v>355</v>
      </c>
      <c r="F142" t="s">
        <v>362</v>
      </c>
      <c r="G142" s="1" t="s">
        <v>415</v>
      </c>
      <c r="H142" s="1" t="s">
        <v>378</v>
      </c>
      <c r="I142" s="1" t="s">
        <v>382</v>
      </c>
      <c r="J142" t="s">
        <v>388</v>
      </c>
      <c r="K142" t="str">
        <f ca="1">TRIM(Table1_2[[#This Row],[Sub-Category]])</f>
        <v>Binders</v>
      </c>
      <c r="L142" s="5">
        <v>1387</v>
      </c>
      <c r="M142">
        <v>6</v>
      </c>
      <c r="N142" s="17">
        <v>0</v>
      </c>
      <c r="O142" s="5">
        <v>769.09</v>
      </c>
      <c r="P142" s="8">
        <f>IF(Table1_2[[#This Row],[Sales]]=0, 0,Table1_2[[#This Row],[Profit]]/Table1_2[[#This Row],[Sales]])</f>
        <v>0.55449891852919975</v>
      </c>
      <c r="Q142" s="7">
        <f>Table1_2[[#This Row],[Sales]]/Table1_2[[#This Row],[Quantity]]</f>
        <v>231.16666666666666</v>
      </c>
      <c r="R142" t="str">
        <f>IF(Table1_2[[#This Row],[Profit]]&gt;0, "YES", "NO")</f>
        <v>YES</v>
      </c>
      <c r="S142" t="str">
        <f>TEXT(Table1_2[[#This Row],[Order Date]], "MMM")</f>
        <v>May</v>
      </c>
      <c r="T142" t="str">
        <f>TEXT(Table1_2[[#This Row],[Ship Date]],"YYYY")</f>
        <v>2021</v>
      </c>
      <c r="U142" s="1">
        <f>MONTH(1&amp;Table1_2[[#This Row],[Month]])</f>
        <v>5</v>
      </c>
    </row>
    <row r="143" spans="1:21" x14ac:dyDescent="0.3">
      <c r="A143" t="s">
        <v>156</v>
      </c>
      <c r="B143" s="2">
        <v>44611</v>
      </c>
      <c r="C143" s="2">
        <v>44985</v>
      </c>
      <c r="D143" t="s">
        <v>350</v>
      </c>
      <c r="E143" t="s">
        <v>359</v>
      </c>
      <c r="F143" t="s">
        <v>363</v>
      </c>
      <c r="G143" s="1" t="s">
        <v>415</v>
      </c>
      <c r="H143" s="1" t="s">
        <v>415</v>
      </c>
      <c r="I143" s="1" t="s">
        <v>381</v>
      </c>
      <c r="J143" t="s">
        <v>387</v>
      </c>
      <c r="K143" t="str">
        <f ca="1">TRIM(Table1_2[[#This Row],[Sub-Category]])</f>
        <v>NA</v>
      </c>
      <c r="L143" s="5">
        <v>967.01</v>
      </c>
      <c r="M143">
        <v>2</v>
      </c>
      <c r="N143" s="17">
        <v>0.03</v>
      </c>
      <c r="O143" s="5">
        <v>458.24</v>
      </c>
      <c r="P143" s="8">
        <f>IF(Table1_2[[#This Row],[Sales]]=0, 0,Table1_2[[#This Row],[Profit]]/Table1_2[[#This Row],[Sales]])</f>
        <v>0.47387307266729406</v>
      </c>
      <c r="Q143" s="7">
        <f>Table1_2[[#This Row],[Sales]]/Table1_2[[#This Row],[Quantity]]</f>
        <v>483.505</v>
      </c>
      <c r="R143" t="str">
        <f>IF(Table1_2[[#This Row],[Profit]]&gt;0, "YES", "NO")</f>
        <v>YES</v>
      </c>
      <c r="S143" t="str">
        <f>TEXT(Table1_2[[#This Row],[Order Date]], "MMM")</f>
        <v>Feb</v>
      </c>
      <c r="T143" t="str">
        <f>TEXT(Table1_2[[#This Row],[Ship Date]],"YYYY")</f>
        <v>2023</v>
      </c>
      <c r="U143" s="1">
        <f>MONTH(1&amp;Table1_2[[#This Row],[Month]])</f>
        <v>2</v>
      </c>
    </row>
    <row r="144" spans="1:21" x14ac:dyDescent="0.3">
      <c r="A144" t="s">
        <v>157</v>
      </c>
      <c r="B144" s="2">
        <v>44832</v>
      </c>
      <c r="C144" s="2">
        <v>44879</v>
      </c>
      <c r="D144" t="s">
        <v>350</v>
      </c>
      <c r="E144" t="s">
        <v>357</v>
      </c>
      <c r="F144" t="s">
        <v>362</v>
      </c>
      <c r="G144" s="1" t="s">
        <v>370</v>
      </c>
      <c r="H144" s="1" t="s">
        <v>376</v>
      </c>
      <c r="I144" s="1" t="s">
        <v>383</v>
      </c>
      <c r="J144" t="s">
        <v>386</v>
      </c>
      <c r="K144" t="str">
        <f ca="1">TRIM(Table1_2[[#This Row],[Sub-Category]])</f>
        <v>Chairs</v>
      </c>
      <c r="L144" s="5">
        <v>449.55</v>
      </c>
      <c r="M144">
        <v>5</v>
      </c>
      <c r="N144" s="17">
        <v>0.22</v>
      </c>
      <c r="O144" s="5">
        <v>736.45</v>
      </c>
      <c r="P144" s="8">
        <f>IF(Table1_2[[#This Row],[Sales]]=0, 0,Table1_2[[#This Row],[Profit]]/Table1_2[[#This Row],[Sales]])</f>
        <v>1.6381937493048604</v>
      </c>
      <c r="Q144" s="7">
        <f>Table1_2[[#This Row],[Sales]]/Table1_2[[#This Row],[Quantity]]</f>
        <v>89.91</v>
      </c>
      <c r="R144" t="str">
        <f>IF(Table1_2[[#This Row],[Profit]]&gt;0, "YES", "NO")</f>
        <v>YES</v>
      </c>
      <c r="S144" t="str">
        <f>TEXT(Table1_2[[#This Row],[Order Date]], "MMM")</f>
        <v>Sep</v>
      </c>
      <c r="T144" t="str">
        <f>TEXT(Table1_2[[#This Row],[Ship Date]],"YYYY")</f>
        <v>2022</v>
      </c>
      <c r="U144" s="1">
        <f>MONTH(1&amp;Table1_2[[#This Row],[Month]])</f>
        <v>9</v>
      </c>
    </row>
    <row r="145" spans="1:21" x14ac:dyDescent="0.3">
      <c r="A145" t="s">
        <v>158</v>
      </c>
      <c r="B145" s="2">
        <v>44514</v>
      </c>
      <c r="C145" s="2">
        <v>45030</v>
      </c>
      <c r="D145" t="s">
        <v>350</v>
      </c>
      <c r="E145" t="s">
        <v>355</v>
      </c>
      <c r="F145" t="s">
        <v>361</v>
      </c>
      <c r="G145" s="1" t="s">
        <v>369</v>
      </c>
      <c r="H145" s="1" t="s">
        <v>376</v>
      </c>
      <c r="I145" s="1" t="s">
        <v>381</v>
      </c>
      <c r="J145" t="s">
        <v>386</v>
      </c>
      <c r="K145" t="str">
        <f ca="1">TRIM(Table1_2[[#This Row],[Sub-Category]])</f>
        <v>Accessories</v>
      </c>
      <c r="L145" s="5">
        <v>1017.68</v>
      </c>
      <c r="M145">
        <v>2</v>
      </c>
      <c r="N145" s="17">
        <v>0.41</v>
      </c>
      <c r="O145" s="5">
        <v>289.89</v>
      </c>
      <c r="P145" s="8">
        <f>IF(Table1_2[[#This Row],[Sales]]=0, 0,Table1_2[[#This Row],[Profit]]/Table1_2[[#This Row],[Sales]])</f>
        <v>0.28485378507978931</v>
      </c>
      <c r="Q145" s="7">
        <f>Table1_2[[#This Row],[Sales]]/Table1_2[[#This Row],[Quantity]]</f>
        <v>508.84</v>
      </c>
      <c r="R145" t="str">
        <f>IF(Table1_2[[#This Row],[Profit]]&gt;0, "YES", "NO")</f>
        <v>YES</v>
      </c>
      <c r="S145" t="str">
        <f>TEXT(Table1_2[[#This Row],[Order Date]], "MMM")</f>
        <v>Nov</v>
      </c>
      <c r="T145" t="str">
        <f>TEXT(Table1_2[[#This Row],[Ship Date]],"YYYY")</f>
        <v>2023</v>
      </c>
      <c r="U145" s="1">
        <f>MONTH(1&amp;Table1_2[[#This Row],[Month]])</f>
        <v>11</v>
      </c>
    </row>
    <row r="146" spans="1:21" x14ac:dyDescent="0.3">
      <c r="A146" t="s">
        <v>159</v>
      </c>
      <c r="B146" s="2">
        <v>45020</v>
      </c>
      <c r="C146" s="2">
        <v>45104</v>
      </c>
      <c r="D146" t="s">
        <v>350</v>
      </c>
      <c r="E146" t="s">
        <v>353</v>
      </c>
      <c r="F146" t="s">
        <v>361</v>
      </c>
      <c r="G146" s="1" t="s">
        <v>368</v>
      </c>
      <c r="H146" s="1" t="s">
        <v>415</v>
      </c>
      <c r="I146" s="1" t="s">
        <v>385</v>
      </c>
      <c r="J146" t="s">
        <v>387</v>
      </c>
      <c r="K146" t="str">
        <f ca="1">TRIM(Table1_2[[#This Row],[Sub-Category]])</f>
        <v>Accessories</v>
      </c>
      <c r="L146" s="5">
        <v>1778.69</v>
      </c>
      <c r="M146">
        <v>4</v>
      </c>
      <c r="N146" s="17">
        <v>0.21</v>
      </c>
      <c r="O146" s="5">
        <v>-166.6</v>
      </c>
      <c r="P146" s="8">
        <f>IF(Table1_2[[#This Row],[Sales]]=0, 0,Table1_2[[#This Row],[Profit]]/Table1_2[[#This Row],[Sales]])</f>
        <v>-9.3664438435028016E-2</v>
      </c>
      <c r="Q146" s="7">
        <f>Table1_2[[#This Row],[Sales]]/Table1_2[[#This Row],[Quantity]]</f>
        <v>444.67250000000001</v>
      </c>
      <c r="R146" t="str">
        <f>IF(Table1_2[[#This Row],[Profit]]&gt;0, "YES", "NO")</f>
        <v>NO</v>
      </c>
      <c r="S146" t="str">
        <f>TEXT(Table1_2[[#This Row],[Order Date]], "MMM")</f>
        <v>Apr</v>
      </c>
      <c r="T146" t="str">
        <f>TEXT(Table1_2[[#This Row],[Ship Date]],"YYYY")</f>
        <v>2023</v>
      </c>
      <c r="U146" s="1">
        <f>MONTH(1&amp;Table1_2[[#This Row],[Month]])</f>
        <v>4</v>
      </c>
    </row>
    <row r="147" spans="1:21" x14ac:dyDescent="0.3">
      <c r="A147" t="s">
        <v>160</v>
      </c>
      <c r="B147" s="2">
        <v>44275</v>
      </c>
      <c r="C147" s="2">
        <v>45019</v>
      </c>
      <c r="D147" t="s">
        <v>350</v>
      </c>
      <c r="E147" t="s">
        <v>357</v>
      </c>
      <c r="F147" t="s">
        <v>362</v>
      </c>
      <c r="G147" s="1" t="s">
        <v>365</v>
      </c>
      <c r="H147" s="1" t="s">
        <v>380</v>
      </c>
      <c r="I147" s="1" t="s">
        <v>383</v>
      </c>
      <c r="J147" t="s">
        <v>388</v>
      </c>
      <c r="K147" t="str">
        <f ca="1">TRIM(Table1_2[[#This Row],[Sub-Category]])</f>
        <v>Paper</v>
      </c>
      <c r="L147" s="5">
        <v>1586.87</v>
      </c>
      <c r="M147">
        <v>2</v>
      </c>
      <c r="N147" s="17">
        <v>0.04</v>
      </c>
      <c r="O147" s="5">
        <v>374</v>
      </c>
      <c r="P147" s="8">
        <f>IF(Table1_2[[#This Row],[Sales]]=0, 0,Table1_2[[#This Row],[Profit]]/Table1_2[[#This Row],[Sales]])</f>
        <v>0.23568408250203232</v>
      </c>
      <c r="Q147" s="7">
        <f>Table1_2[[#This Row],[Sales]]/Table1_2[[#This Row],[Quantity]]</f>
        <v>793.43499999999995</v>
      </c>
      <c r="R147" t="str">
        <f>IF(Table1_2[[#This Row],[Profit]]&gt;0, "YES", "NO")</f>
        <v>YES</v>
      </c>
      <c r="S147" t="str">
        <f>TEXT(Table1_2[[#This Row],[Order Date]], "MMM")</f>
        <v>Mar</v>
      </c>
      <c r="T147" t="str">
        <f>TEXT(Table1_2[[#This Row],[Ship Date]],"YYYY")</f>
        <v>2023</v>
      </c>
      <c r="U147" s="1">
        <f>MONTH(1&amp;Table1_2[[#This Row],[Month]])</f>
        <v>3</v>
      </c>
    </row>
    <row r="148" spans="1:21" x14ac:dyDescent="0.3">
      <c r="A148" t="s">
        <v>161</v>
      </c>
      <c r="B148" s="2">
        <v>45058</v>
      </c>
      <c r="C148" s="2">
        <v>45134</v>
      </c>
      <c r="D148" t="s">
        <v>349</v>
      </c>
      <c r="E148" t="s">
        <v>359</v>
      </c>
      <c r="F148" t="s">
        <v>362</v>
      </c>
      <c r="G148" s="1" t="s">
        <v>370</v>
      </c>
      <c r="H148" s="1" t="s">
        <v>380</v>
      </c>
      <c r="I148" s="1" t="s">
        <v>385</v>
      </c>
      <c r="J148" t="s">
        <v>388</v>
      </c>
      <c r="K148" t="str">
        <f ca="1">TRIM(Table1_2[[#This Row],[Sub-Category]])</f>
        <v>Phones</v>
      </c>
      <c r="L148" s="5">
        <v>1003</v>
      </c>
      <c r="M148">
        <v>6</v>
      </c>
      <c r="N148" s="17">
        <v>0.19</v>
      </c>
      <c r="O148" s="5">
        <v>358.33</v>
      </c>
      <c r="P148" s="8">
        <f>IF(Table1_2[[#This Row],[Sales]]=0, 0,Table1_2[[#This Row],[Profit]]/Table1_2[[#This Row],[Sales]])</f>
        <v>0.3572582253240279</v>
      </c>
      <c r="Q148" s="7">
        <f>Table1_2[[#This Row],[Sales]]/Table1_2[[#This Row],[Quantity]]</f>
        <v>167.16666666666666</v>
      </c>
      <c r="R148" t="str">
        <f>IF(Table1_2[[#This Row],[Profit]]&gt;0, "YES", "NO")</f>
        <v>YES</v>
      </c>
      <c r="S148" t="str">
        <f>TEXT(Table1_2[[#This Row],[Order Date]], "MMM")</f>
        <v>May</v>
      </c>
      <c r="T148" t="str">
        <f>TEXT(Table1_2[[#This Row],[Ship Date]],"YYYY")</f>
        <v>2023</v>
      </c>
      <c r="U148" s="1">
        <f>MONTH(1&amp;Table1_2[[#This Row],[Month]])</f>
        <v>5</v>
      </c>
    </row>
    <row r="149" spans="1:21" x14ac:dyDescent="0.3">
      <c r="A149" t="s">
        <v>162</v>
      </c>
      <c r="B149" s="2">
        <v>44226</v>
      </c>
      <c r="C149" s="2">
        <v>44614</v>
      </c>
      <c r="D149" t="s">
        <v>349</v>
      </c>
      <c r="E149" t="s">
        <v>359</v>
      </c>
      <c r="F149" t="s">
        <v>361</v>
      </c>
      <c r="G149" s="1" t="s">
        <v>368</v>
      </c>
      <c r="H149" s="1" t="s">
        <v>414</v>
      </c>
      <c r="I149" s="1" t="s">
        <v>385</v>
      </c>
      <c r="J149" t="s">
        <v>372</v>
      </c>
      <c r="K149" t="str">
        <f ca="1">TRIM(Table1_2[[#This Row],[Sub-Category]])</f>
        <v>NA</v>
      </c>
      <c r="L149" s="5">
        <v>584.1</v>
      </c>
      <c r="M149">
        <v>6</v>
      </c>
      <c r="N149" s="17">
        <v>0.15</v>
      </c>
      <c r="O149" s="5">
        <v>-185.02</v>
      </c>
      <c r="P149" s="8">
        <f>IF(Table1_2[[#This Row],[Sales]]=0, 0,Table1_2[[#This Row],[Profit]]/Table1_2[[#This Row],[Sales]])</f>
        <v>-0.31676082862523541</v>
      </c>
      <c r="Q149" s="7">
        <f>Table1_2[[#This Row],[Sales]]/Table1_2[[#This Row],[Quantity]]</f>
        <v>97.350000000000009</v>
      </c>
      <c r="R149" t="str">
        <f>IF(Table1_2[[#This Row],[Profit]]&gt;0, "YES", "NO")</f>
        <v>NO</v>
      </c>
      <c r="S149" t="str">
        <f>TEXT(Table1_2[[#This Row],[Order Date]], "MMM")</f>
        <v>Jan</v>
      </c>
      <c r="T149" t="str">
        <f>TEXT(Table1_2[[#This Row],[Ship Date]],"YYYY")</f>
        <v>2022</v>
      </c>
      <c r="U149" s="1">
        <f>MONTH(1&amp;Table1_2[[#This Row],[Month]])</f>
        <v>1</v>
      </c>
    </row>
    <row r="150" spans="1:21" x14ac:dyDescent="0.3">
      <c r="A150" t="s">
        <v>163</v>
      </c>
      <c r="B150" s="2">
        <v>44932</v>
      </c>
      <c r="C150" s="2">
        <v>44592</v>
      </c>
      <c r="D150" t="s">
        <v>349</v>
      </c>
      <c r="E150" t="s">
        <v>353</v>
      </c>
      <c r="F150" t="s">
        <v>363</v>
      </c>
      <c r="G150" s="1" t="s">
        <v>368</v>
      </c>
      <c r="H150" s="1" t="s">
        <v>379</v>
      </c>
      <c r="I150" s="1" t="s">
        <v>382</v>
      </c>
      <c r="J150" t="s">
        <v>386</v>
      </c>
      <c r="K150" t="str">
        <f ca="1">TRIM(Table1_2[[#This Row],[Sub-Category]])</f>
        <v>Phones</v>
      </c>
      <c r="L150" s="5">
        <v>368</v>
      </c>
      <c r="M150">
        <v>6</v>
      </c>
      <c r="N150" s="17">
        <v>0</v>
      </c>
      <c r="O150" s="5">
        <v>661.24</v>
      </c>
      <c r="P150" s="8">
        <f>IF(Table1_2[[#This Row],[Sales]]=0, 0,Table1_2[[#This Row],[Profit]]/Table1_2[[#This Row],[Sales]])</f>
        <v>1.7968478260869565</v>
      </c>
      <c r="Q150" s="7">
        <f>Table1_2[[#This Row],[Sales]]/Table1_2[[#This Row],[Quantity]]</f>
        <v>61.333333333333336</v>
      </c>
      <c r="R150" t="str">
        <f>IF(Table1_2[[#This Row],[Profit]]&gt;0, "YES", "NO")</f>
        <v>YES</v>
      </c>
      <c r="S150" t="str">
        <f>TEXT(Table1_2[[#This Row],[Order Date]], "MMM")</f>
        <v>Jan</v>
      </c>
      <c r="T150" t="str">
        <f>TEXT(Table1_2[[#This Row],[Ship Date]],"YYYY")</f>
        <v>2022</v>
      </c>
      <c r="U150" s="1">
        <f>MONTH(1&amp;Table1_2[[#This Row],[Month]])</f>
        <v>1</v>
      </c>
    </row>
    <row r="151" spans="1:21" x14ac:dyDescent="0.3">
      <c r="A151" t="s">
        <v>164</v>
      </c>
      <c r="B151" s="2">
        <v>44543</v>
      </c>
      <c r="C151" s="2">
        <v>44519</v>
      </c>
      <c r="D151" t="s">
        <v>350</v>
      </c>
      <c r="E151" t="s">
        <v>354</v>
      </c>
      <c r="F151" t="s">
        <v>364</v>
      </c>
      <c r="G151" s="1" t="s">
        <v>415</v>
      </c>
      <c r="H151" s="1" t="s">
        <v>415</v>
      </c>
      <c r="I151" s="1" t="s">
        <v>372</v>
      </c>
      <c r="J151" t="s">
        <v>388</v>
      </c>
      <c r="K151" t="str">
        <f ca="1">TRIM(Table1_2[[#This Row],[Sub-Category]])</f>
        <v>Phones</v>
      </c>
      <c r="L151" s="5">
        <v>1757.98</v>
      </c>
      <c r="M151">
        <v>4</v>
      </c>
      <c r="N151" s="17">
        <v>0.32</v>
      </c>
      <c r="O151" s="5">
        <v>419.97</v>
      </c>
      <c r="P151" s="8">
        <f>IF(Table1_2[[#This Row],[Sales]]=0, 0,Table1_2[[#This Row],[Profit]]/Table1_2[[#This Row],[Sales]])</f>
        <v>0.23889350277022492</v>
      </c>
      <c r="Q151" s="7">
        <f>Table1_2[[#This Row],[Sales]]/Table1_2[[#This Row],[Quantity]]</f>
        <v>439.495</v>
      </c>
      <c r="R151" t="str">
        <f>IF(Table1_2[[#This Row],[Profit]]&gt;0, "YES", "NO")</f>
        <v>YES</v>
      </c>
      <c r="S151" t="str">
        <f>TEXT(Table1_2[[#This Row],[Order Date]], "MMM")</f>
        <v>Dec</v>
      </c>
      <c r="T151" t="str">
        <f>TEXT(Table1_2[[#This Row],[Ship Date]],"YYYY")</f>
        <v>2021</v>
      </c>
      <c r="U151" s="1">
        <f>MONTH(1&amp;Table1_2[[#This Row],[Month]])</f>
        <v>12</v>
      </c>
    </row>
    <row r="152" spans="1:21" x14ac:dyDescent="0.3">
      <c r="A152" t="s">
        <v>165</v>
      </c>
      <c r="B152" s="2">
        <v>44580</v>
      </c>
      <c r="C152" s="2">
        <v>44433</v>
      </c>
      <c r="D152" t="s">
        <v>352</v>
      </c>
      <c r="E152" t="s">
        <v>357</v>
      </c>
      <c r="F152" t="s">
        <v>361</v>
      </c>
      <c r="G152" s="1" t="s">
        <v>367</v>
      </c>
      <c r="H152" s="1" t="s">
        <v>415</v>
      </c>
      <c r="I152" s="1" t="s">
        <v>372</v>
      </c>
      <c r="J152" t="s">
        <v>386</v>
      </c>
      <c r="K152" t="str">
        <f ca="1">TRIM(Table1_2[[#This Row],[Sub-Category]])</f>
        <v>Binders</v>
      </c>
      <c r="L152" s="5">
        <v>1423.23</v>
      </c>
      <c r="M152">
        <v>3</v>
      </c>
      <c r="N152" s="17">
        <v>7.0000000000000007E-2</v>
      </c>
      <c r="O152" s="5">
        <v>545</v>
      </c>
      <c r="P152" s="8">
        <f>IF(Table1_2[[#This Row],[Sales]]=0, 0,Table1_2[[#This Row],[Profit]]/Table1_2[[#This Row],[Sales]])</f>
        <v>0.38293178193264615</v>
      </c>
      <c r="Q152" s="7">
        <f>Table1_2[[#This Row],[Sales]]/Table1_2[[#This Row],[Quantity]]</f>
        <v>474.41</v>
      </c>
      <c r="R152" t="str">
        <f>IF(Table1_2[[#This Row],[Profit]]&gt;0, "YES", "NO")</f>
        <v>YES</v>
      </c>
      <c r="S152" t="str">
        <f>TEXT(Table1_2[[#This Row],[Order Date]], "MMM")</f>
        <v>Jan</v>
      </c>
      <c r="T152" t="str">
        <f>TEXT(Table1_2[[#This Row],[Ship Date]],"YYYY")</f>
        <v>2021</v>
      </c>
      <c r="U152" s="1">
        <f>MONTH(1&amp;Table1_2[[#This Row],[Month]])</f>
        <v>1</v>
      </c>
    </row>
    <row r="153" spans="1:21" x14ac:dyDescent="0.3">
      <c r="A153" t="s">
        <v>166</v>
      </c>
      <c r="B153" s="2">
        <v>44216</v>
      </c>
      <c r="C153" s="2">
        <v>44946</v>
      </c>
      <c r="D153" t="s">
        <v>349</v>
      </c>
      <c r="E153" t="s">
        <v>353</v>
      </c>
      <c r="F153" t="s">
        <v>362</v>
      </c>
      <c r="G153" s="1" t="s">
        <v>368</v>
      </c>
      <c r="H153" s="1" t="s">
        <v>415</v>
      </c>
      <c r="I153" s="1" t="s">
        <v>385</v>
      </c>
      <c r="J153" t="s">
        <v>372</v>
      </c>
      <c r="K153" t="str">
        <f ca="1">TRIM(Table1_2[[#This Row],[Sub-Category]])</f>
        <v>Tables</v>
      </c>
      <c r="L153" s="5">
        <v>1148.5999999999999</v>
      </c>
      <c r="M153">
        <v>3</v>
      </c>
      <c r="N153" s="17">
        <v>0.17</v>
      </c>
      <c r="O153" s="5">
        <v>294</v>
      </c>
      <c r="P153" s="8">
        <f>IF(Table1_2[[#This Row],[Sales]]=0, 0,Table1_2[[#This Row],[Profit]]/Table1_2[[#This Row],[Sales]])</f>
        <v>0.25596378199547276</v>
      </c>
      <c r="Q153" s="7">
        <f>Table1_2[[#This Row],[Sales]]/Table1_2[[#This Row],[Quantity]]</f>
        <v>382.86666666666662</v>
      </c>
      <c r="R153" t="str">
        <f>IF(Table1_2[[#This Row],[Profit]]&gt;0, "YES", "NO")</f>
        <v>YES</v>
      </c>
      <c r="S153" t="str">
        <f>TEXT(Table1_2[[#This Row],[Order Date]], "MMM")</f>
        <v>Jan</v>
      </c>
      <c r="T153" t="str">
        <f>TEXT(Table1_2[[#This Row],[Ship Date]],"YYYY")</f>
        <v>2023</v>
      </c>
      <c r="U153" s="1">
        <f>MONTH(1&amp;Table1_2[[#This Row],[Month]])</f>
        <v>1</v>
      </c>
    </row>
    <row r="154" spans="1:21" x14ac:dyDescent="0.3">
      <c r="A154" t="s">
        <v>167</v>
      </c>
      <c r="B154" s="2">
        <v>44899</v>
      </c>
      <c r="C154" s="2">
        <v>44912</v>
      </c>
      <c r="D154" t="s">
        <v>350</v>
      </c>
      <c r="E154" t="s">
        <v>353</v>
      </c>
      <c r="F154" t="s">
        <v>362</v>
      </c>
      <c r="G154" s="1" t="s">
        <v>370</v>
      </c>
      <c r="H154" s="1" t="s">
        <v>380</v>
      </c>
      <c r="I154" s="1" t="s">
        <v>382</v>
      </c>
      <c r="J154" t="s">
        <v>387</v>
      </c>
      <c r="K154" t="str">
        <f ca="1">TRIM(Table1_2[[#This Row],[Sub-Category]])</f>
        <v>Accessories</v>
      </c>
      <c r="L154" s="5">
        <v>1760.07</v>
      </c>
      <c r="M154">
        <v>2</v>
      </c>
      <c r="N154" s="17">
        <v>0.38</v>
      </c>
      <c r="O154" s="5">
        <v>418</v>
      </c>
      <c r="P154" s="8">
        <f>IF(Table1_2[[#This Row],[Sales]]=0, 0,Table1_2[[#This Row],[Profit]]/Table1_2[[#This Row],[Sales]])</f>
        <v>0.23749055435295188</v>
      </c>
      <c r="Q154" s="7">
        <f>Table1_2[[#This Row],[Sales]]/Table1_2[[#This Row],[Quantity]]</f>
        <v>880.03499999999997</v>
      </c>
      <c r="R154" t="str">
        <f>IF(Table1_2[[#This Row],[Profit]]&gt;0, "YES", "NO")</f>
        <v>YES</v>
      </c>
      <c r="S154" t="str">
        <f>TEXT(Table1_2[[#This Row],[Order Date]], "MMM")</f>
        <v>Dec</v>
      </c>
      <c r="T154" t="str">
        <f>TEXT(Table1_2[[#This Row],[Ship Date]],"YYYY")</f>
        <v>2022</v>
      </c>
      <c r="U154" s="1">
        <f>MONTH(1&amp;Table1_2[[#This Row],[Month]])</f>
        <v>12</v>
      </c>
    </row>
    <row r="155" spans="1:21" x14ac:dyDescent="0.3">
      <c r="A155" t="s">
        <v>168</v>
      </c>
      <c r="B155" s="2">
        <v>44362</v>
      </c>
      <c r="C155" s="2">
        <v>44999</v>
      </c>
      <c r="D155" t="s">
        <v>350</v>
      </c>
      <c r="E155" t="s">
        <v>359</v>
      </c>
      <c r="F155" t="s">
        <v>364</v>
      </c>
      <c r="G155" s="1" t="s">
        <v>371</v>
      </c>
      <c r="H155" s="1" t="s">
        <v>379</v>
      </c>
      <c r="I155" s="1" t="s">
        <v>384</v>
      </c>
      <c r="J155" t="s">
        <v>387</v>
      </c>
      <c r="K155" t="str">
        <f ca="1">TRIM(Table1_2[[#This Row],[Sub-Category]])</f>
        <v>Chairs</v>
      </c>
      <c r="L155" s="5">
        <v>252</v>
      </c>
      <c r="M155">
        <v>4</v>
      </c>
      <c r="N155" s="17">
        <v>0.44</v>
      </c>
      <c r="O155" s="5">
        <v>57.47</v>
      </c>
      <c r="P155" s="8">
        <f>IF(Table1_2[[#This Row],[Sales]]=0, 0,Table1_2[[#This Row],[Profit]]/Table1_2[[#This Row],[Sales]])</f>
        <v>0.22805555555555554</v>
      </c>
      <c r="Q155" s="7">
        <f>Table1_2[[#This Row],[Sales]]/Table1_2[[#This Row],[Quantity]]</f>
        <v>63</v>
      </c>
      <c r="R155" t="str">
        <f>IF(Table1_2[[#This Row],[Profit]]&gt;0, "YES", "NO")</f>
        <v>YES</v>
      </c>
      <c r="S155" t="str">
        <f>TEXT(Table1_2[[#This Row],[Order Date]], "MMM")</f>
        <v>Jun</v>
      </c>
      <c r="T155" t="str">
        <f>TEXT(Table1_2[[#This Row],[Ship Date]],"YYYY")</f>
        <v>2023</v>
      </c>
      <c r="U155" s="1">
        <f>MONTH(1&amp;Table1_2[[#This Row],[Month]])</f>
        <v>6</v>
      </c>
    </row>
    <row r="156" spans="1:21" x14ac:dyDescent="0.3">
      <c r="A156" t="s">
        <v>169</v>
      </c>
      <c r="B156" s="2">
        <v>44856</v>
      </c>
      <c r="C156" s="2">
        <v>44365</v>
      </c>
      <c r="D156" t="s">
        <v>352</v>
      </c>
      <c r="E156" t="s">
        <v>353</v>
      </c>
      <c r="F156" t="s">
        <v>362</v>
      </c>
      <c r="G156" s="1" t="s">
        <v>369</v>
      </c>
      <c r="H156" s="1" t="s">
        <v>377</v>
      </c>
      <c r="I156" s="1" t="s">
        <v>382</v>
      </c>
      <c r="J156" t="s">
        <v>386</v>
      </c>
      <c r="K156" t="str">
        <f ca="1">TRIM(Table1_2[[#This Row],[Sub-Category]])</f>
        <v>Accessories</v>
      </c>
      <c r="L156" s="5">
        <v>1368</v>
      </c>
      <c r="M156">
        <v>5</v>
      </c>
      <c r="N156" s="17">
        <v>0.16</v>
      </c>
      <c r="O156" s="5">
        <v>774</v>
      </c>
      <c r="P156" s="8">
        <f>IF(Table1_2[[#This Row],[Sales]]=0, 0,Table1_2[[#This Row],[Profit]]/Table1_2[[#This Row],[Sales]])</f>
        <v>0.56578947368421051</v>
      </c>
      <c r="Q156" s="7">
        <f>Table1_2[[#This Row],[Sales]]/Table1_2[[#This Row],[Quantity]]</f>
        <v>273.60000000000002</v>
      </c>
      <c r="R156" t="str">
        <f>IF(Table1_2[[#This Row],[Profit]]&gt;0, "YES", "NO")</f>
        <v>YES</v>
      </c>
      <c r="S156" t="str">
        <f>TEXT(Table1_2[[#This Row],[Order Date]], "MMM")</f>
        <v>Oct</v>
      </c>
      <c r="T156" t="str">
        <f>TEXT(Table1_2[[#This Row],[Ship Date]],"YYYY")</f>
        <v>2021</v>
      </c>
      <c r="U156" s="1">
        <f>MONTH(1&amp;Table1_2[[#This Row],[Month]])</f>
        <v>10</v>
      </c>
    </row>
    <row r="157" spans="1:21" x14ac:dyDescent="0.3">
      <c r="A157" t="s">
        <v>170</v>
      </c>
      <c r="B157" s="2">
        <v>44922</v>
      </c>
      <c r="C157" s="2">
        <v>44689</v>
      </c>
      <c r="D157" t="s">
        <v>349</v>
      </c>
      <c r="E157" t="s">
        <v>355</v>
      </c>
      <c r="F157" t="s">
        <v>363</v>
      </c>
      <c r="G157" s="1" t="s">
        <v>367</v>
      </c>
      <c r="H157" s="1" t="s">
        <v>415</v>
      </c>
      <c r="I157" s="1" t="s">
        <v>381</v>
      </c>
      <c r="J157" t="s">
        <v>386</v>
      </c>
      <c r="K157" t="str">
        <f ca="1">TRIM(Table1_2[[#This Row],[Sub-Category]])</f>
        <v>Accessories</v>
      </c>
      <c r="L157" s="5">
        <v>441.26</v>
      </c>
      <c r="M157">
        <v>7</v>
      </c>
      <c r="N157" s="17">
        <v>0.2</v>
      </c>
      <c r="O157" s="5">
        <v>200.72</v>
      </c>
      <c r="P157" s="8">
        <f>IF(Table1_2[[#This Row],[Sales]]=0, 0,Table1_2[[#This Row],[Profit]]/Table1_2[[#This Row],[Sales]])</f>
        <v>0.45487920953632782</v>
      </c>
      <c r="Q157" s="7">
        <f>Table1_2[[#This Row],[Sales]]/Table1_2[[#This Row],[Quantity]]</f>
        <v>63.037142857142854</v>
      </c>
      <c r="R157" t="str">
        <f>IF(Table1_2[[#This Row],[Profit]]&gt;0, "YES", "NO")</f>
        <v>YES</v>
      </c>
      <c r="S157" t="str">
        <f>TEXT(Table1_2[[#This Row],[Order Date]], "MMM")</f>
        <v>Dec</v>
      </c>
      <c r="T157" t="str">
        <f>TEXT(Table1_2[[#This Row],[Ship Date]],"YYYY")</f>
        <v>2022</v>
      </c>
      <c r="U157" s="1">
        <f>MONTH(1&amp;Table1_2[[#This Row],[Month]])</f>
        <v>12</v>
      </c>
    </row>
    <row r="158" spans="1:21" x14ac:dyDescent="0.3">
      <c r="A158" t="s">
        <v>171</v>
      </c>
      <c r="B158" s="2">
        <v>45042</v>
      </c>
      <c r="C158" s="2">
        <v>44419</v>
      </c>
      <c r="D158" t="s">
        <v>349</v>
      </c>
      <c r="E158" t="s">
        <v>357</v>
      </c>
      <c r="F158" t="s">
        <v>362</v>
      </c>
      <c r="G158" s="1" t="s">
        <v>368</v>
      </c>
      <c r="H158" s="1" t="s">
        <v>375</v>
      </c>
      <c r="I158" s="1" t="s">
        <v>385</v>
      </c>
      <c r="J158" t="s">
        <v>372</v>
      </c>
      <c r="K158" t="str">
        <f ca="1">TRIM(Table1_2[[#This Row],[Sub-Category]])</f>
        <v>Accessories</v>
      </c>
      <c r="L158" s="5">
        <v>249.95</v>
      </c>
      <c r="M158">
        <v>1</v>
      </c>
      <c r="N158" s="17">
        <v>0.15</v>
      </c>
      <c r="O158" s="5">
        <v>-38</v>
      </c>
      <c r="P158" s="8">
        <f>IF(Table1_2[[#This Row],[Sales]]=0, 0,Table1_2[[#This Row],[Profit]]/Table1_2[[#This Row],[Sales]])</f>
        <v>-0.15203040608121626</v>
      </c>
      <c r="Q158" s="7">
        <f>Table1_2[[#This Row],[Sales]]/Table1_2[[#This Row],[Quantity]]</f>
        <v>249.95</v>
      </c>
      <c r="R158" t="str">
        <f>IF(Table1_2[[#This Row],[Profit]]&gt;0, "YES", "NO")</f>
        <v>NO</v>
      </c>
      <c r="S158" t="str">
        <f>TEXT(Table1_2[[#This Row],[Order Date]], "MMM")</f>
        <v>Apr</v>
      </c>
      <c r="T158" t="str">
        <f>TEXT(Table1_2[[#This Row],[Ship Date]],"YYYY")</f>
        <v>2021</v>
      </c>
      <c r="U158" s="1">
        <f>MONTH(1&amp;Table1_2[[#This Row],[Month]])</f>
        <v>4</v>
      </c>
    </row>
    <row r="159" spans="1:21" x14ac:dyDescent="0.3">
      <c r="A159" t="s">
        <v>172</v>
      </c>
      <c r="B159" s="2">
        <v>44905</v>
      </c>
      <c r="C159" s="2">
        <v>45091</v>
      </c>
      <c r="D159" t="s">
        <v>350</v>
      </c>
      <c r="E159" t="s">
        <v>359</v>
      </c>
      <c r="F159" t="s">
        <v>364</v>
      </c>
      <c r="G159" s="1" t="s">
        <v>367</v>
      </c>
      <c r="H159" s="1" t="s">
        <v>377</v>
      </c>
      <c r="I159" s="1" t="s">
        <v>384</v>
      </c>
      <c r="J159" t="s">
        <v>388</v>
      </c>
      <c r="K159" t="str">
        <f ca="1">TRIM(Table1_2[[#This Row],[Sub-Category]])</f>
        <v>NA</v>
      </c>
      <c r="L159" s="5">
        <v>936.56</v>
      </c>
      <c r="M159">
        <v>3</v>
      </c>
      <c r="N159" s="17">
        <v>0.56999999999999995</v>
      </c>
      <c r="O159" s="5">
        <v>-144</v>
      </c>
      <c r="P159" s="8">
        <f>IF(Table1_2[[#This Row],[Sales]]=0, 0,Table1_2[[#This Row],[Profit]]/Table1_2[[#This Row],[Sales]])</f>
        <v>-0.15375416417527976</v>
      </c>
      <c r="Q159" s="7">
        <f>Table1_2[[#This Row],[Sales]]/Table1_2[[#This Row],[Quantity]]</f>
        <v>312.18666666666667</v>
      </c>
      <c r="R159" t="str">
        <f>IF(Table1_2[[#This Row],[Profit]]&gt;0, "YES", "NO")</f>
        <v>NO</v>
      </c>
      <c r="S159" t="str">
        <f>TEXT(Table1_2[[#This Row],[Order Date]], "MMM")</f>
        <v>Dec</v>
      </c>
      <c r="T159" t="str">
        <f>TEXT(Table1_2[[#This Row],[Ship Date]],"YYYY")</f>
        <v>2023</v>
      </c>
      <c r="U159" s="1">
        <f>MONTH(1&amp;Table1_2[[#This Row],[Month]])</f>
        <v>12</v>
      </c>
    </row>
    <row r="160" spans="1:21" x14ac:dyDescent="0.3">
      <c r="A160" t="s">
        <v>173</v>
      </c>
      <c r="B160" s="2">
        <v>44498</v>
      </c>
      <c r="C160" s="2">
        <v>44465</v>
      </c>
      <c r="D160" t="s">
        <v>350</v>
      </c>
      <c r="E160" t="s">
        <v>355</v>
      </c>
      <c r="F160" t="s">
        <v>361</v>
      </c>
      <c r="G160" s="1" t="s">
        <v>415</v>
      </c>
      <c r="H160" s="1" t="s">
        <v>376</v>
      </c>
      <c r="I160" s="1" t="s">
        <v>384</v>
      </c>
      <c r="J160" t="s">
        <v>388</v>
      </c>
      <c r="K160" t="str">
        <f ca="1">TRIM(Table1_2[[#This Row],[Sub-Category]])</f>
        <v>Accessories</v>
      </c>
      <c r="L160" s="5">
        <v>780.91</v>
      </c>
      <c r="M160">
        <v>8</v>
      </c>
      <c r="N160" s="17">
        <v>0.11</v>
      </c>
      <c r="O160" s="5">
        <v>436</v>
      </c>
      <c r="P160" s="8">
        <f>IF(Table1_2[[#This Row],[Sales]]=0, 0,Table1_2[[#This Row],[Profit]]/Table1_2[[#This Row],[Sales]])</f>
        <v>0.55832298216183684</v>
      </c>
      <c r="Q160" s="7">
        <f>Table1_2[[#This Row],[Sales]]/Table1_2[[#This Row],[Quantity]]</f>
        <v>97.613749999999996</v>
      </c>
      <c r="R160" t="str">
        <f>IF(Table1_2[[#This Row],[Profit]]&gt;0, "YES", "NO")</f>
        <v>YES</v>
      </c>
      <c r="S160" t="str">
        <f>TEXT(Table1_2[[#This Row],[Order Date]], "MMM")</f>
        <v>Oct</v>
      </c>
      <c r="T160" t="str">
        <f>TEXT(Table1_2[[#This Row],[Ship Date]],"YYYY")</f>
        <v>2021</v>
      </c>
      <c r="U160" s="1">
        <f>MONTH(1&amp;Table1_2[[#This Row],[Month]])</f>
        <v>10</v>
      </c>
    </row>
    <row r="161" spans="1:21" x14ac:dyDescent="0.3">
      <c r="A161" t="s">
        <v>174</v>
      </c>
      <c r="B161" s="2">
        <v>44935</v>
      </c>
      <c r="C161" s="2">
        <v>44341</v>
      </c>
      <c r="D161" t="s">
        <v>350</v>
      </c>
      <c r="E161" t="s">
        <v>358</v>
      </c>
      <c r="F161" t="s">
        <v>362</v>
      </c>
      <c r="G161" s="1" t="s">
        <v>367</v>
      </c>
      <c r="H161" s="1" t="s">
        <v>414</v>
      </c>
      <c r="I161" s="1" t="s">
        <v>372</v>
      </c>
      <c r="J161" t="s">
        <v>386</v>
      </c>
      <c r="K161" t="str">
        <f ca="1">TRIM(Table1_2[[#This Row],[Sub-Category]])</f>
        <v>Binders</v>
      </c>
      <c r="L161" s="5">
        <v>1882.94</v>
      </c>
      <c r="M161">
        <v>9</v>
      </c>
      <c r="N161" s="17">
        <v>0.11</v>
      </c>
      <c r="O161" s="5">
        <v>783.38</v>
      </c>
      <c r="P161" s="8">
        <f>IF(Table1_2[[#This Row],[Sales]]=0, 0,Table1_2[[#This Row],[Profit]]/Table1_2[[#This Row],[Sales]])</f>
        <v>0.4160408722529661</v>
      </c>
      <c r="Q161" s="7">
        <f>Table1_2[[#This Row],[Sales]]/Table1_2[[#This Row],[Quantity]]</f>
        <v>209.21555555555557</v>
      </c>
      <c r="R161" t="str">
        <f>IF(Table1_2[[#This Row],[Profit]]&gt;0, "YES", "NO")</f>
        <v>YES</v>
      </c>
      <c r="S161" t="str">
        <f>TEXT(Table1_2[[#This Row],[Order Date]], "MMM")</f>
        <v>Jan</v>
      </c>
      <c r="T161" t="str">
        <f>TEXT(Table1_2[[#This Row],[Ship Date]],"YYYY")</f>
        <v>2021</v>
      </c>
      <c r="U161" s="1">
        <f>MONTH(1&amp;Table1_2[[#This Row],[Month]])</f>
        <v>1</v>
      </c>
    </row>
    <row r="162" spans="1:21" x14ac:dyDescent="0.3">
      <c r="A162" t="s">
        <v>175</v>
      </c>
      <c r="B162" s="2">
        <v>45022</v>
      </c>
      <c r="C162" s="2">
        <v>44767</v>
      </c>
      <c r="D162" t="s">
        <v>349</v>
      </c>
      <c r="E162" t="s">
        <v>357</v>
      </c>
      <c r="F162" t="s">
        <v>362</v>
      </c>
      <c r="G162" s="1" t="s">
        <v>415</v>
      </c>
      <c r="H162" s="1" t="s">
        <v>377</v>
      </c>
      <c r="I162" s="1" t="s">
        <v>383</v>
      </c>
      <c r="J162" t="s">
        <v>386</v>
      </c>
      <c r="K162" t="str">
        <f ca="1">TRIM(Table1_2[[#This Row],[Sub-Category]])</f>
        <v>Accessories</v>
      </c>
      <c r="L162" s="5">
        <v>655</v>
      </c>
      <c r="M162">
        <v>9</v>
      </c>
      <c r="N162" s="17">
        <v>0.27</v>
      </c>
      <c r="O162" s="5">
        <v>695.79</v>
      </c>
      <c r="P162" s="8">
        <f>IF(Table1_2[[#This Row],[Sales]]=0, 0,Table1_2[[#This Row],[Profit]]/Table1_2[[#This Row],[Sales]])</f>
        <v>1.0622748091603054</v>
      </c>
      <c r="Q162" s="7">
        <f>Table1_2[[#This Row],[Sales]]/Table1_2[[#This Row],[Quantity]]</f>
        <v>72.777777777777771</v>
      </c>
      <c r="R162" t="str">
        <f>IF(Table1_2[[#This Row],[Profit]]&gt;0, "YES", "NO")</f>
        <v>YES</v>
      </c>
      <c r="S162" t="str">
        <f>TEXT(Table1_2[[#This Row],[Order Date]], "MMM")</f>
        <v>Apr</v>
      </c>
      <c r="T162" t="str">
        <f>TEXT(Table1_2[[#This Row],[Ship Date]],"YYYY")</f>
        <v>2022</v>
      </c>
      <c r="U162" s="1">
        <f>MONTH(1&amp;Table1_2[[#This Row],[Month]])</f>
        <v>4</v>
      </c>
    </row>
    <row r="163" spans="1:21" x14ac:dyDescent="0.3">
      <c r="A163" t="s">
        <v>176</v>
      </c>
      <c r="B163" s="2">
        <v>44514</v>
      </c>
      <c r="C163" s="2">
        <v>45077</v>
      </c>
      <c r="D163" t="s">
        <v>349</v>
      </c>
      <c r="E163" t="s">
        <v>356</v>
      </c>
      <c r="F163" t="s">
        <v>362</v>
      </c>
      <c r="G163" s="1" t="s">
        <v>365</v>
      </c>
      <c r="H163" s="1" t="s">
        <v>379</v>
      </c>
      <c r="I163" s="1" t="s">
        <v>383</v>
      </c>
      <c r="J163" t="s">
        <v>372</v>
      </c>
      <c r="K163" t="str">
        <f ca="1">TRIM(Table1_2[[#This Row],[Sub-Category]])</f>
        <v>Tables</v>
      </c>
      <c r="L163" s="5">
        <v>1631.66</v>
      </c>
      <c r="M163">
        <v>3</v>
      </c>
      <c r="N163" s="17">
        <v>0.11</v>
      </c>
      <c r="O163" s="5">
        <v>502.1</v>
      </c>
      <c r="P163" s="8">
        <f>IF(Table1_2[[#This Row],[Sales]]=0, 0,Table1_2[[#This Row],[Profit]]/Table1_2[[#This Row],[Sales]])</f>
        <v>0.30772342277190101</v>
      </c>
      <c r="Q163" s="7">
        <f>Table1_2[[#This Row],[Sales]]/Table1_2[[#This Row],[Quantity]]</f>
        <v>543.88666666666666</v>
      </c>
      <c r="R163" t="str">
        <f>IF(Table1_2[[#This Row],[Profit]]&gt;0, "YES", "NO")</f>
        <v>YES</v>
      </c>
      <c r="S163" t="str">
        <f>TEXT(Table1_2[[#This Row],[Order Date]], "MMM")</f>
        <v>Nov</v>
      </c>
      <c r="T163" t="str">
        <f>TEXT(Table1_2[[#This Row],[Ship Date]],"YYYY")</f>
        <v>2023</v>
      </c>
      <c r="U163" s="1">
        <f>MONTH(1&amp;Table1_2[[#This Row],[Month]])</f>
        <v>11</v>
      </c>
    </row>
    <row r="164" spans="1:21" x14ac:dyDescent="0.3">
      <c r="A164" t="s">
        <v>177</v>
      </c>
      <c r="B164" s="2">
        <v>44321</v>
      </c>
      <c r="C164" s="2">
        <v>45113</v>
      </c>
      <c r="D164" t="s">
        <v>350</v>
      </c>
      <c r="E164" t="s">
        <v>358</v>
      </c>
      <c r="F164" t="s">
        <v>362</v>
      </c>
      <c r="G164" s="1" t="s">
        <v>370</v>
      </c>
      <c r="H164" s="1" t="s">
        <v>378</v>
      </c>
      <c r="I164" s="1" t="s">
        <v>382</v>
      </c>
      <c r="J164" t="s">
        <v>387</v>
      </c>
      <c r="K164" t="str">
        <f ca="1">TRIM(Table1_2[[#This Row],[Sub-Category]])</f>
        <v>Binders</v>
      </c>
      <c r="L164" s="5">
        <v>1500</v>
      </c>
      <c r="M164">
        <v>2</v>
      </c>
      <c r="N164" s="17">
        <v>0.09</v>
      </c>
      <c r="O164" s="5">
        <v>791</v>
      </c>
      <c r="P164" s="8">
        <f>IF(Table1_2[[#This Row],[Sales]]=0, 0,Table1_2[[#This Row],[Profit]]/Table1_2[[#This Row],[Sales]])</f>
        <v>0.52733333333333332</v>
      </c>
      <c r="Q164" s="7">
        <f>Table1_2[[#This Row],[Sales]]/Table1_2[[#This Row],[Quantity]]</f>
        <v>750</v>
      </c>
      <c r="R164" t="str">
        <f>IF(Table1_2[[#This Row],[Profit]]&gt;0, "YES", "NO")</f>
        <v>YES</v>
      </c>
      <c r="S164" t="str">
        <f>TEXT(Table1_2[[#This Row],[Order Date]], "MMM")</f>
        <v>May</v>
      </c>
      <c r="T164" t="str">
        <f>TEXT(Table1_2[[#This Row],[Ship Date]],"YYYY")</f>
        <v>2023</v>
      </c>
      <c r="U164" s="1">
        <f>MONTH(1&amp;Table1_2[[#This Row],[Month]])</f>
        <v>5</v>
      </c>
    </row>
    <row r="165" spans="1:21" x14ac:dyDescent="0.3">
      <c r="A165" t="s">
        <v>178</v>
      </c>
      <c r="B165" s="2">
        <v>45205</v>
      </c>
      <c r="C165" s="2">
        <v>44412</v>
      </c>
      <c r="D165" t="s">
        <v>349</v>
      </c>
      <c r="E165" t="s">
        <v>360</v>
      </c>
      <c r="F165" t="s">
        <v>363</v>
      </c>
      <c r="G165" s="1" t="s">
        <v>415</v>
      </c>
      <c r="H165" s="1" t="s">
        <v>415</v>
      </c>
      <c r="I165" s="1" t="s">
        <v>385</v>
      </c>
      <c r="J165" t="s">
        <v>386</v>
      </c>
      <c r="K165" t="str">
        <f ca="1">TRIM(Table1_2[[#This Row],[Sub-Category]])</f>
        <v>Binders</v>
      </c>
      <c r="L165" s="5">
        <v>1339.17</v>
      </c>
      <c r="M165">
        <v>2</v>
      </c>
      <c r="N165" s="17">
        <v>0.06</v>
      </c>
      <c r="O165" s="5">
        <v>522.83000000000004</v>
      </c>
      <c r="P165" s="8">
        <f>IF(Table1_2[[#This Row],[Sales]]=0, 0,Table1_2[[#This Row],[Profit]]/Table1_2[[#This Row],[Sales]])</f>
        <v>0.39041346505671426</v>
      </c>
      <c r="Q165" s="7">
        <f>Table1_2[[#This Row],[Sales]]/Table1_2[[#This Row],[Quantity]]</f>
        <v>669.58500000000004</v>
      </c>
      <c r="R165" t="str">
        <f>IF(Table1_2[[#This Row],[Profit]]&gt;0, "YES", "NO")</f>
        <v>YES</v>
      </c>
      <c r="S165" t="str">
        <f>TEXT(Table1_2[[#This Row],[Order Date]], "MMM")</f>
        <v>Oct</v>
      </c>
      <c r="T165" t="str">
        <f>TEXT(Table1_2[[#This Row],[Ship Date]],"YYYY")</f>
        <v>2021</v>
      </c>
      <c r="U165" s="1">
        <f>MONTH(1&amp;Table1_2[[#This Row],[Month]])</f>
        <v>10</v>
      </c>
    </row>
    <row r="166" spans="1:21" x14ac:dyDescent="0.3">
      <c r="A166" t="s">
        <v>179</v>
      </c>
      <c r="B166" s="2">
        <v>44344</v>
      </c>
      <c r="C166" s="2">
        <v>44523</v>
      </c>
      <c r="D166" t="s">
        <v>350</v>
      </c>
      <c r="E166" t="s">
        <v>357</v>
      </c>
      <c r="F166" t="s">
        <v>361</v>
      </c>
      <c r="G166" s="1" t="s">
        <v>415</v>
      </c>
      <c r="H166" s="1" t="s">
        <v>375</v>
      </c>
      <c r="I166" s="1" t="s">
        <v>372</v>
      </c>
      <c r="J166" t="s">
        <v>387</v>
      </c>
      <c r="K166" t="str">
        <f ca="1">TRIM(Table1_2[[#This Row],[Sub-Category]])</f>
        <v>Phones</v>
      </c>
      <c r="L166" s="5">
        <v>1841.6</v>
      </c>
      <c r="M166">
        <v>2</v>
      </c>
      <c r="N166" s="17">
        <v>0.38</v>
      </c>
      <c r="O166" s="5">
        <v>139</v>
      </c>
      <c r="P166" s="8">
        <f>IF(Table1_2[[#This Row],[Sales]]=0, 0,Table1_2[[#This Row],[Profit]]/Table1_2[[#This Row],[Sales]])</f>
        <v>7.5477845351867939E-2</v>
      </c>
      <c r="Q166" s="7">
        <f>Table1_2[[#This Row],[Sales]]/Table1_2[[#This Row],[Quantity]]</f>
        <v>920.8</v>
      </c>
      <c r="R166" t="str">
        <f>IF(Table1_2[[#This Row],[Profit]]&gt;0, "YES", "NO")</f>
        <v>YES</v>
      </c>
      <c r="S166" t="str">
        <f>TEXT(Table1_2[[#This Row],[Order Date]], "MMM")</f>
        <v>May</v>
      </c>
      <c r="T166" t="str">
        <f>TEXT(Table1_2[[#This Row],[Ship Date]],"YYYY")</f>
        <v>2021</v>
      </c>
      <c r="U166" s="1">
        <f>MONTH(1&amp;Table1_2[[#This Row],[Month]])</f>
        <v>5</v>
      </c>
    </row>
    <row r="167" spans="1:21" x14ac:dyDescent="0.3">
      <c r="A167" t="s">
        <v>180</v>
      </c>
      <c r="B167" s="2">
        <v>44790</v>
      </c>
      <c r="C167" s="2">
        <v>44351</v>
      </c>
      <c r="D167" t="s">
        <v>349</v>
      </c>
      <c r="E167" t="s">
        <v>358</v>
      </c>
      <c r="F167" t="s">
        <v>364</v>
      </c>
      <c r="G167" s="1" t="s">
        <v>369</v>
      </c>
      <c r="H167" s="1" t="s">
        <v>374</v>
      </c>
      <c r="I167" s="1" t="s">
        <v>384</v>
      </c>
      <c r="J167" t="s">
        <v>387</v>
      </c>
      <c r="K167" t="str">
        <f ca="1">TRIM(Table1_2[[#This Row],[Sub-Category]])</f>
        <v>Tables</v>
      </c>
      <c r="L167" s="5">
        <v>822</v>
      </c>
      <c r="M167">
        <v>9</v>
      </c>
      <c r="N167" s="17">
        <v>0.37</v>
      </c>
      <c r="O167" s="5">
        <v>401.22</v>
      </c>
      <c r="P167" s="8">
        <f>IF(Table1_2[[#This Row],[Sales]]=0, 0,Table1_2[[#This Row],[Profit]]/Table1_2[[#This Row],[Sales]])</f>
        <v>0.48810218978102193</v>
      </c>
      <c r="Q167" s="7">
        <f>Table1_2[[#This Row],[Sales]]/Table1_2[[#This Row],[Quantity]]</f>
        <v>91.333333333333329</v>
      </c>
      <c r="R167" t="str">
        <f>IF(Table1_2[[#This Row],[Profit]]&gt;0, "YES", "NO")</f>
        <v>YES</v>
      </c>
      <c r="S167" t="str">
        <f>TEXT(Table1_2[[#This Row],[Order Date]], "MMM")</f>
        <v>Aug</v>
      </c>
      <c r="T167" t="str">
        <f>TEXT(Table1_2[[#This Row],[Ship Date]],"YYYY")</f>
        <v>2021</v>
      </c>
      <c r="U167" s="1">
        <f>MONTH(1&amp;Table1_2[[#This Row],[Month]])</f>
        <v>8</v>
      </c>
    </row>
    <row r="168" spans="1:21" x14ac:dyDescent="0.3">
      <c r="A168" t="s">
        <v>181</v>
      </c>
      <c r="B168" s="2">
        <v>44433</v>
      </c>
      <c r="C168" s="2">
        <v>44505</v>
      </c>
      <c r="D168" t="s">
        <v>350</v>
      </c>
      <c r="E168" t="s">
        <v>355</v>
      </c>
      <c r="F168" t="s">
        <v>363</v>
      </c>
      <c r="G168" s="1" t="s">
        <v>415</v>
      </c>
      <c r="H168" s="1" t="s">
        <v>380</v>
      </c>
      <c r="I168" s="1" t="s">
        <v>383</v>
      </c>
      <c r="J168" t="s">
        <v>388</v>
      </c>
      <c r="K168" t="str">
        <f ca="1">TRIM(Table1_2[[#This Row],[Sub-Category]])</f>
        <v>NA</v>
      </c>
      <c r="L168" s="5">
        <v>785.45</v>
      </c>
      <c r="M168">
        <v>8</v>
      </c>
      <c r="N168" s="17">
        <v>0.39</v>
      </c>
      <c r="O168" s="5">
        <v>-120.23</v>
      </c>
      <c r="P168" s="8">
        <f>IF(Table1_2[[#This Row],[Sales]]=0, 0,Table1_2[[#This Row],[Profit]]/Table1_2[[#This Row],[Sales]])</f>
        <v>-0.15307148768222037</v>
      </c>
      <c r="Q168" s="7">
        <f>Table1_2[[#This Row],[Sales]]/Table1_2[[#This Row],[Quantity]]</f>
        <v>98.181250000000006</v>
      </c>
      <c r="R168" t="str">
        <f>IF(Table1_2[[#This Row],[Profit]]&gt;0, "YES", "NO")</f>
        <v>NO</v>
      </c>
      <c r="S168" t="str">
        <f>TEXT(Table1_2[[#This Row],[Order Date]], "MMM")</f>
        <v>Aug</v>
      </c>
      <c r="T168" t="str">
        <f>TEXT(Table1_2[[#This Row],[Ship Date]],"YYYY")</f>
        <v>2021</v>
      </c>
      <c r="U168" s="1">
        <f>MONTH(1&amp;Table1_2[[#This Row],[Month]])</f>
        <v>8</v>
      </c>
    </row>
    <row r="169" spans="1:21" x14ac:dyDescent="0.3">
      <c r="A169" t="s">
        <v>182</v>
      </c>
      <c r="B169" s="2">
        <v>44323</v>
      </c>
      <c r="C169" s="2">
        <v>44731</v>
      </c>
      <c r="D169" t="s">
        <v>350</v>
      </c>
      <c r="E169" t="s">
        <v>353</v>
      </c>
      <c r="F169" t="s">
        <v>362</v>
      </c>
      <c r="G169" s="1" t="s">
        <v>370</v>
      </c>
      <c r="H169" s="1" t="s">
        <v>379</v>
      </c>
      <c r="I169" s="1" t="s">
        <v>372</v>
      </c>
      <c r="J169" t="s">
        <v>388</v>
      </c>
      <c r="K169" t="str">
        <f ca="1">TRIM(Table1_2[[#This Row],[Sub-Category]])</f>
        <v>Phones</v>
      </c>
      <c r="L169" s="5">
        <v>330.29</v>
      </c>
      <c r="M169">
        <v>8</v>
      </c>
      <c r="N169" s="17">
        <v>0.46</v>
      </c>
      <c r="O169" s="5">
        <v>21.68</v>
      </c>
      <c r="P169" s="8">
        <f>IF(Table1_2[[#This Row],[Sales]]=0, 0,Table1_2[[#This Row],[Profit]]/Table1_2[[#This Row],[Sales]])</f>
        <v>6.5639286687456472E-2</v>
      </c>
      <c r="Q169" s="7">
        <f>Table1_2[[#This Row],[Sales]]/Table1_2[[#This Row],[Quantity]]</f>
        <v>41.286250000000003</v>
      </c>
      <c r="R169" t="str">
        <f>IF(Table1_2[[#This Row],[Profit]]&gt;0, "YES", "NO")</f>
        <v>YES</v>
      </c>
      <c r="S169" t="str">
        <f>TEXT(Table1_2[[#This Row],[Order Date]], "MMM")</f>
        <v>May</v>
      </c>
      <c r="T169" t="str">
        <f>TEXT(Table1_2[[#This Row],[Ship Date]],"YYYY")</f>
        <v>2022</v>
      </c>
      <c r="U169" s="1">
        <f>MONTH(1&amp;Table1_2[[#This Row],[Month]])</f>
        <v>5</v>
      </c>
    </row>
    <row r="170" spans="1:21" x14ac:dyDescent="0.3">
      <c r="A170" t="s">
        <v>183</v>
      </c>
      <c r="B170" s="2">
        <v>44973</v>
      </c>
      <c r="C170" s="2">
        <v>44449</v>
      </c>
      <c r="D170" t="s">
        <v>349</v>
      </c>
      <c r="E170" t="s">
        <v>358</v>
      </c>
      <c r="F170" t="s">
        <v>362</v>
      </c>
      <c r="G170" s="1" t="s">
        <v>369</v>
      </c>
      <c r="H170" s="1" t="s">
        <v>415</v>
      </c>
      <c r="I170" s="1" t="s">
        <v>385</v>
      </c>
      <c r="J170" t="s">
        <v>372</v>
      </c>
      <c r="K170" t="str">
        <f ca="1">TRIM(Table1_2[[#This Row],[Sub-Category]])</f>
        <v>Phones</v>
      </c>
      <c r="L170" s="5">
        <v>558.77</v>
      </c>
      <c r="M170">
        <v>7</v>
      </c>
      <c r="N170" s="17">
        <v>0.2</v>
      </c>
      <c r="O170" s="5">
        <v>217.54</v>
      </c>
      <c r="P170" s="8">
        <f>IF(Table1_2[[#This Row],[Sales]]=0, 0,Table1_2[[#This Row],[Profit]]/Table1_2[[#This Row],[Sales]])</f>
        <v>0.38931939796338388</v>
      </c>
      <c r="Q170" s="7">
        <f>Table1_2[[#This Row],[Sales]]/Table1_2[[#This Row],[Quantity]]</f>
        <v>79.824285714285708</v>
      </c>
      <c r="R170" t="str">
        <f>IF(Table1_2[[#This Row],[Profit]]&gt;0, "YES", "NO")</f>
        <v>YES</v>
      </c>
      <c r="S170" t="str">
        <f>TEXT(Table1_2[[#This Row],[Order Date]], "MMM")</f>
        <v>Feb</v>
      </c>
      <c r="T170" t="str">
        <f>TEXT(Table1_2[[#This Row],[Ship Date]],"YYYY")</f>
        <v>2021</v>
      </c>
      <c r="U170" s="1">
        <f>MONTH(1&amp;Table1_2[[#This Row],[Month]])</f>
        <v>2</v>
      </c>
    </row>
    <row r="171" spans="1:21" x14ac:dyDescent="0.3">
      <c r="A171" t="s">
        <v>184</v>
      </c>
      <c r="B171" s="2">
        <v>44340</v>
      </c>
      <c r="C171" s="2">
        <v>44265</v>
      </c>
      <c r="D171" t="s">
        <v>350</v>
      </c>
      <c r="E171" t="s">
        <v>356</v>
      </c>
      <c r="F171" t="s">
        <v>362</v>
      </c>
      <c r="G171" s="1" t="s">
        <v>369</v>
      </c>
      <c r="H171" s="1" t="s">
        <v>414</v>
      </c>
      <c r="I171" s="1" t="s">
        <v>385</v>
      </c>
      <c r="J171" t="s">
        <v>387</v>
      </c>
      <c r="K171" t="str">
        <f ca="1">TRIM(Table1_2[[#This Row],[Sub-Category]])</f>
        <v>Paper</v>
      </c>
      <c r="L171" s="5">
        <v>1760.76</v>
      </c>
      <c r="M171">
        <v>4</v>
      </c>
      <c r="N171" s="17">
        <v>0.55000000000000004</v>
      </c>
      <c r="O171" s="5">
        <v>1.82</v>
      </c>
      <c r="P171" s="8">
        <f>IF(Table1_2[[#This Row],[Sales]]=0, 0,Table1_2[[#This Row],[Profit]]/Table1_2[[#This Row],[Sales]])</f>
        <v>1.0336445625752516E-3</v>
      </c>
      <c r="Q171" s="7">
        <f>Table1_2[[#This Row],[Sales]]/Table1_2[[#This Row],[Quantity]]</f>
        <v>440.19</v>
      </c>
      <c r="R171" t="str">
        <f>IF(Table1_2[[#This Row],[Profit]]&gt;0, "YES", "NO")</f>
        <v>YES</v>
      </c>
      <c r="S171" t="str">
        <f>TEXT(Table1_2[[#This Row],[Order Date]], "MMM")</f>
        <v>May</v>
      </c>
      <c r="T171" t="str">
        <f>TEXT(Table1_2[[#This Row],[Ship Date]],"YYYY")</f>
        <v>2021</v>
      </c>
      <c r="U171" s="1">
        <f>MONTH(1&amp;Table1_2[[#This Row],[Month]])</f>
        <v>5</v>
      </c>
    </row>
    <row r="172" spans="1:21" x14ac:dyDescent="0.3">
      <c r="A172" t="s">
        <v>185</v>
      </c>
      <c r="B172" s="2">
        <v>44867</v>
      </c>
      <c r="C172" s="2">
        <v>44708</v>
      </c>
      <c r="D172" t="s">
        <v>351</v>
      </c>
      <c r="E172" t="s">
        <v>357</v>
      </c>
      <c r="F172" t="s">
        <v>362</v>
      </c>
      <c r="G172" s="1" t="s">
        <v>415</v>
      </c>
      <c r="H172" s="1" t="s">
        <v>415</v>
      </c>
      <c r="I172" s="1" t="s">
        <v>381</v>
      </c>
      <c r="J172" t="s">
        <v>386</v>
      </c>
      <c r="K172" t="str">
        <f ca="1">TRIM(Table1_2[[#This Row],[Sub-Category]])</f>
        <v>NA</v>
      </c>
      <c r="L172" s="5">
        <v>954</v>
      </c>
      <c r="M172">
        <v>5</v>
      </c>
      <c r="N172" s="17">
        <v>0.44</v>
      </c>
      <c r="O172" s="5">
        <v>753.5</v>
      </c>
      <c r="P172" s="8">
        <f>IF(Table1_2[[#This Row],[Sales]]=0, 0,Table1_2[[#This Row],[Profit]]/Table1_2[[#This Row],[Sales]])</f>
        <v>0.78983228511530401</v>
      </c>
      <c r="Q172" s="7">
        <f>Table1_2[[#This Row],[Sales]]/Table1_2[[#This Row],[Quantity]]</f>
        <v>190.8</v>
      </c>
      <c r="R172" t="str">
        <f>IF(Table1_2[[#This Row],[Profit]]&gt;0, "YES", "NO")</f>
        <v>YES</v>
      </c>
      <c r="S172" t="str">
        <f>TEXT(Table1_2[[#This Row],[Order Date]], "MMM")</f>
        <v>Nov</v>
      </c>
      <c r="T172" t="str">
        <f>TEXT(Table1_2[[#This Row],[Ship Date]],"YYYY")</f>
        <v>2022</v>
      </c>
      <c r="U172" s="1">
        <f>MONTH(1&amp;Table1_2[[#This Row],[Month]])</f>
        <v>11</v>
      </c>
    </row>
    <row r="173" spans="1:21" x14ac:dyDescent="0.3">
      <c r="A173" t="s">
        <v>186</v>
      </c>
      <c r="B173" s="2">
        <v>44890</v>
      </c>
      <c r="C173" s="2">
        <v>44250</v>
      </c>
      <c r="D173" t="s">
        <v>350</v>
      </c>
      <c r="E173" t="s">
        <v>359</v>
      </c>
      <c r="F173" t="s">
        <v>362</v>
      </c>
      <c r="G173" s="1" t="s">
        <v>367</v>
      </c>
      <c r="H173" s="1" t="s">
        <v>380</v>
      </c>
      <c r="I173" s="1" t="s">
        <v>381</v>
      </c>
      <c r="J173" t="s">
        <v>372</v>
      </c>
      <c r="K173" t="str">
        <f ca="1">TRIM(Table1_2[[#This Row],[Sub-Category]])</f>
        <v>Accessories</v>
      </c>
      <c r="L173" s="5">
        <v>689.29</v>
      </c>
      <c r="M173">
        <v>8</v>
      </c>
      <c r="N173" s="17">
        <v>0.48</v>
      </c>
      <c r="O173" s="5">
        <v>796</v>
      </c>
      <c r="P173" s="8">
        <f>IF(Table1_2[[#This Row],[Sales]]=0, 0,Table1_2[[#This Row],[Profit]]/Table1_2[[#This Row],[Sales]])</f>
        <v>1.1548114726747813</v>
      </c>
      <c r="Q173" s="7">
        <f>Table1_2[[#This Row],[Sales]]/Table1_2[[#This Row],[Quantity]]</f>
        <v>86.161249999999995</v>
      </c>
      <c r="R173" t="str">
        <f>IF(Table1_2[[#This Row],[Profit]]&gt;0, "YES", "NO")</f>
        <v>YES</v>
      </c>
      <c r="S173" t="str">
        <f>TEXT(Table1_2[[#This Row],[Order Date]], "MMM")</f>
        <v>Nov</v>
      </c>
      <c r="T173" t="str">
        <f>TEXT(Table1_2[[#This Row],[Ship Date]],"YYYY")</f>
        <v>2021</v>
      </c>
      <c r="U173" s="1">
        <f>MONTH(1&amp;Table1_2[[#This Row],[Month]])</f>
        <v>11</v>
      </c>
    </row>
    <row r="174" spans="1:21" x14ac:dyDescent="0.3">
      <c r="A174" t="s">
        <v>187</v>
      </c>
      <c r="B174" s="2">
        <v>44257</v>
      </c>
      <c r="C174" s="2">
        <v>44424</v>
      </c>
      <c r="D174" t="s">
        <v>349</v>
      </c>
      <c r="E174" t="s">
        <v>355</v>
      </c>
      <c r="F174" t="s">
        <v>364</v>
      </c>
      <c r="G174" s="1" t="s">
        <v>373</v>
      </c>
      <c r="H174" s="1" t="s">
        <v>415</v>
      </c>
      <c r="I174" s="1" t="s">
        <v>381</v>
      </c>
      <c r="J174" t="s">
        <v>372</v>
      </c>
      <c r="K174" t="str">
        <f ca="1">TRIM(Table1_2[[#This Row],[Sub-Category]])</f>
        <v>Chairs</v>
      </c>
      <c r="L174" s="5">
        <v>440.06</v>
      </c>
      <c r="M174">
        <v>8</v>
      </c>
      <c r="N174" s="17">
        <v>0.43</v>
      </c>
      <c r="O174" s="5">
        <v>171</v>
      </c>
      <c r="P174" s="8">
        <f>IF(Table1_2[[#This Row],[Sales]]=0, 0,Table1_2[[#This Row],[Profit]]/Table1_2[[#This Row],[Sales]])</f>
        <v>0.38858337499431894</v>
      </c>
      <c r="Q174" s="7">
        <f>Table1_2[[#This Row],[Sales]]/Table1_2[[#This Row],[Quantity]]</f>
        <v>55.0075</v>
      </c>
      <c r="R174" t="str">
        <f>IF(Table1_2[[#This Row],[Profit]]&gt;0, "YES", "NO")</f>
        <v>YES</v>
      </c>
      <c r="S174" t="str">
        <f>TEXT(Table1_2[[#This Row],[Order Date]], "MMM")</f>
        <v>Mar</v>
      </c>
      <c r="T174" t="str">
        <f>TEXT(Table1_2[[#This Row],[Ship Date]],"YYYY")</f>
        <v>2021</v>
      </c>
      <c r="U174" s="1">
        <f>MONTH(1&amp;Table1_2[[#This Row],[Month]])</f>
        <v>3</v>
      </c>
    </row>
    <row r="175" spans="1:21" x14ac:dyDescent="0.3">
      <c r="A175" t="s">
        <v>188</v>
      </c>
      <c r="B175" s="2">
        <v>44369</v>
      </c>
      <c r="C175" s="2">
        <v>44228</v>
      </c>
      <c r="D175" t="s">
        <v>349</v>
      </c>
      <c r="E175" t="s">
        <v>356</v>
      </c>
      <c r="F175" t="s">
        <v>362</v>
      </c>
      <c r="G175" s="1" t="s">
        <v>370</v>
      </c>
      <c r="H175" s="1" t="s">
        <v>377</v>
      </c>
      <c r="I175" s="1" t="s">
        <v>384</v>
      </c>
      <c r="J175" t="s">
        <v>386</v>
      </c>
      <c r="K175" t="str">
        <f ca="1">TRIM(Table1_2[[#This Row],[Sub-Category]])</f>
        <v>Binders</v>
      </c>
      <c r="L175" s="5">
        <v>975.07</v>
      </c>
      <c r="M175">
        <v>5</v>
      </c>
      <c r="N175" s="17">
        <v>0.22</v>
      </c>
      <c r="O175" s="5">
        <v>509.23</v>
      </c>
      <c r="P175" s="8">
        <f>IF(Table1_2[[#This Row],[Sales]]=0, 0,Table1_2[[#This Row],[Profit]]/Table1_2[[#This Row],[Sales]])</f>
        <v>0.52224968463802601</v>
      </c>
      <c r="Q175" s="7">
        <f>Table1_2[[#This Row],[Sales]]/Table1_2[[#This Row],[Quantity]]</f>
        <v>195.01400000000001</v>
      </c>
      <c r="R175" t="str">
        <f>IF(Table1_2[[#This Row],[Profit]]&gt;0, "YES", "NO")</f>
        <v>YES</v>
      </c>
      <c r="S175" t="str">
        <f>TEXT(Table1_2[[#This Row],[Order Date]], "MMM")</f>
        <v>Jun</v>
      </c>
      <c r="T175" t="str">
        <f>TEXT(Table1_2[[#This Row],[Ship Date]],"YYYY")</f>
        <v>2021</v>
      </c>
      <c r="U175" s="1">
        <f>MONTH(1&amp;Table1_2[[#This Row],[Month]])</f>
        <v>6</v>
      </c>
    </row>
    <row r="176" spans="1:21" x14ac:dyDescent="0.3">
      <c r="A176" t="s">
        <v>189</v>
      </c>
      <c r="B176" s="2">
        <v>44991</v>
      </c>
      <c r="C176" s="2">
        <v>44284</v>
      </c>
      <c r="D176" t="s">
        <v>350</v>
      </c>
      <c r="E176" t="s">
        <v>353</v>
      </c>
      <c r="F176" t="s">
        <v>362</v>
      </c>
      <c r="G176" s="1" t="s">
        <v>365</v>
      </c>
      <c r="H176" s="1" t="s">
        <v>415</v>
      </c>
      <c r="I176" s="1" t="s">
        <v>384</v>
      </c>
      <c r="J176" t="s">
        <v>372</v>
      </c>
      <c r="K176" t="str">
        <f ca="1">TRIM(Table1_2[[#This Row],[Sub-Category]])</f>
        <v>Tables</v>
      </c>
      <c r="L176" s="5">
        <v>1436.16</v>
      </c>
      <c r="M176">
        <v>8</v>
      </c>
      <c r="N176" s="17">
        <v>0.17</v>
      </c>
      <c r="O176" s="5">
        <v>207.77</v>
      </c>
      <c r="P176" s="8">
        <f>IF(Table1_2[[#This Row],[Sales]]=0, 0,Table1_2[[#This Row],[Profit]]/Table1_2[[#This Row],[Sales]])</f>
        <v>0.14467051024955438</v>
      </c>
      <c r="Q176" s="7">
        <f>Table1_2[[#This Row],[Sales]]/Table1_2[[#This Row],[Quantity]]</f>
        <v>179.52</v>
      </c>
      <c r="R176" t="str">
        <f>IF(Table1_2[[#This Row],[Profit]]&gt;0, "YES", "NO")</f>
        <v>YES</v>
      </c>
      <c r="S176" t="str">
        <f>TEXT(Table1_2[[#This Row],[Order Date]], "MMM")</f>
        <v>Mar</v>
      </c>
      <c r="T176" t="str">
        <f>TEXT(Table1_2[[#This Row],[Ship Date]],"YYYY")</f>
        <v>2021</v>
      </c>
      <c r="U176" s="1">
        <f>MONTH(1&amp;Table1_2[[#This Row],[Month]])</f>
        <v>3</v>
      </c>
    </row>
    <row r="177" spans="1:21" x14ac:dyDescent="0.3">
      <c r="A177" t="s">
        <v>190</v>
      </c>
      <c r="B177" s="2">
        <v>44704</v>
      </c>
      <c r="C177" s="2">
        <v>44634</v>
      </c>
      <c r="D177" t="s">
        <v>352</v>
      </c>
      <c r="E177" t="s">
        <v>354</v>
      </c>
      <c r="F177" t="s">
        <v>362</v>
      </c>
      <c r="G177" s="1" t="s">
        <v>369</v>
      </c>
      <c r="H177" s="1" t="s">
        <v>378</v>
      </c>
      <c r="I177" s="1" t="s">
        <v>384</v>
      </c>
      <c r="J177" t="s">
        <v>388</v>
      </c>
      <c r="K177" t="str">
        <f ca="1">TRIM(Table1_2[[#This Row],[Sub-Category]])</f>
        <v>NA</v>
      </c>
      <c r="L177" s="5">
        <v>580.52</v>
      </c>
      <c r="M177">
        <v>4</v>
      </c>
      <c r="N177" s="17">
        <v>0.25</v>
      </c>
      <c r="O177" s="5">
        <v>-60.49</v>
      </c>
      <c r="P177" s="8">
        <f>IF(Table1_2[[#This Row],[Sales]]=0, 0,Table1_2[[#This Row],[Profit]]/Table1_2[[#This Row],[Sales]])</f>
        <v>-0.10419968304278923</v>
      </c>
      <c r="Q177" s="7">
        <f>Table1_2[[#This Row],[Sales]]/Table1_2[[#This Row],[Quantity]]</f>
        <v>145.13</v>
      </c>
      <c r="R177" t="str">
        <f>IF(Table1_2[[#This Row],[Profit]]&gt;0, "YES", "NO")</f>
        <v>NO</v>
      </c>
      <c r="S177" t="str">
        <f>TEXT(Table1_2[[#This Row],[Order Date]], "MMM")</f>
        <v>May</v>
      </c>
      <c r="T177" t="str">
        <f>TEXT(Table1_2[[#This Row],[Ship Date]],"YYYY")</f>
        <v>2022</v>
      </c>
      <c r="U177" s="1">
        <f>MONTH(1&amp;Table1_2[[#This Row],[Month]])</f>
        <v>5</v>
      </c>
    </row>
    <row r="178" spans="1:21" x14ac:dyDescent="0.3">
      <c r="A178" t="s">
        <v>191</v>
      </c>
      <c r="B178" s="2">
        <v>44318</v>
      </c>
      <c r="C178" s="2">
        <v>45048</v>
      </c>
      <c r="D178" t="s">
        <v>350</v>
      </c>
      <c r="E178" t="s">
        <v>360</v>
      </c>
      <c r="F178" t="s">
        <v>364</v>
      </c>
      <c r="G178" s="1" t="s">
        <v>373</v>
      </c>
      <c r="H178" s="1" t="s">
        <v>374</v>
      </c>
      <c r="I178" s="1" t="s">
        <v>372</v>
      </c>
      <c r="J178" t="s">
        <v>372</v>
      </c>
      <c r="K178" t="str">
        <f ca="1">TRIM(Table1_2[[#This Row],[Sub-Category]])</f>
        <v>Phones</v>
      </c>
      <c r="L178" s="5">
        <v>1517.86</v>
      </c>
      <c r="M178">
        <v>4</v>
      </c>
      <c r="N178" s="17">
        <v>0.06</v>
      </c>
      <c r="O178" s="5">
        <v>137</v>
      </c>
      <c r="P178" s="8">
        <f>IF(Table1_2[[#This Row],[Sales]]=0, 0,Table1_2[[#This Row],[Profit]]/Table1_2[[#This Row],[Sales]])</f>
        <v>9.0258653630769639E-2</v>
      </c>
      <c r="Q178" s="7">
        <f>Table1_2[[#This Row],[Sales]]/Table1_2[[#This Row],[Quantity]]</f>
        <v>379.46499999999997</v>
      </c>
      <c r="R178" t="str">
        <f>IF(Table1_2[[#This Row],[Profit]]&gt;0, "YES", "NO")</f>
        <v>YES</v>
      </c>
      <c r="S178" t="str">
        <f>TEXT(Table1_2[[#This Row],[Order Date]], "MMM")</f>
        <v>May</v>
      </c>
      <c r="T178" t="str">
        <f>TEXT(Table1_2[[#This Row],[Ship Date]],"YYYY")</f>
        <v>2023</v>
      </c>
      <c r="U178" s="1">
        <f>MONTH(1&amp;Table1_2[[#This Row],[Month]])</f>
        <v>5</v>
      </c>
    </row>
    <row r="179" spans="1:21" x14ac:dyDescent="0.3">
      <c r="A179" t="s">
        <v>192</v>
      </c>
      <c r="B179" s="2">
        <v>45188</v>
      </c>
      <c r="C179" s="2">
        <v>44972</v>
      </c>
      <c r="D179" t="s">
        <v>350</v>
      </c>
      <c r="E179" t="s">
        <v>357</v>
      </c>
      <c r="F179" t="s">
        <v>362</v>
      </c>
      <c r="G179" s="1" t="s">
        <v>366</v>
      </c>
      <c r="H179" s="1" t="s">
        <v>378</v>
      </c>
      <c r="I179" s="1" t="s">
        <v>372</v>
      </c>
      <c r="J179" t="s">
        <v>387</v>
      </c>
      <c r="K179" t="str">
        <f ca="1">TRIM(Table1_2[[#This Row],[Sub-Category]])</f>
        <v>Binders</v>
      </c>
      <c r="L179" s="5">
        <v>1263</v>
      </c>
      <c r="M179">
        <v>8</v>
      </c>
      <c r="N179" s="17">
        <v>0.27</v>
      </c>
      <c r="O179" s="5">
        <v>33.369999999999997</v>
      </c>
      <c r="P179" s="8">
        <f>IF(Table1_2[[#This Row],[Sales]]=0, 0,Table1_2[[#This Row],[Profit]]/Table1_2[[#This Row],[Sales]])</f>
        <v>2.6421219319081549E-2</v>
      </c>
      <c r="Q179" s="7">
        <f>Table1_2[[#This Row],[Sales]]/Table1_2[[#This Row],[Quantity]]</f>
        <v>157.875</v>
      </c>
      <c r="R179" t="str">
        <f>IF(Table1_2[[#This Row],[Profit]]&gt;0, "YES", "NO")</f>
        <v>YES</v>
      </c>
      <c r="S179" t="str">
        <f>TEXT(Table1_2[[#This Row],[Order Date]], "MMM")</f>
        <v>Sep</v>
      </c>
      <c r="T179" t="str">
        <f>TEXT(Table1_2[[#This Row],[Ship Date]],"YYYY")</f>
        <v>2023</v>
      </c>
      <c r="U179" s="1">
        <f>MONTH(1&amp;Table1_2[[#This Row],[Month]])</f>
        <v>9</v>
      </c>
    </row>
    <row r="180" spans="1:21" x14ac:dyDescent="0.3">
      <c r="A180" t="s">
        <v>193</v>
      </c>
      <c r="B180" s="2">
        <v>44461</v>
      </c>
      <c r="C180" s="2">
        <v>44296</v>
      </c>
      <c r="D180" t="s">
        <v>349</v>
      </c>
      <c r="E180" t="s">
        <v>358</v>
      </c>
      <c r="F180" t="s">
        <v>364</v>
      </c>
      <c r="G180" s="1" t="s">
        <v>368</v>
      </c>
      <c r="H180" s="1" t="s">
        <v>378</v>
      </c>
      <c r="I180" s="1" t="s">
        <v>381</v>
      </c>
      <c r="J180" t="s">
        <v>372</v>
      </c>
      <c r="K180" t="str">
        <f ca="1">TRIM(Table1_2[[#This Row],[Sub-Category]])</f>
        <v>Chairs</v>
      </c>
      <c r="L180" s="5">
        <v>1577.25</v>
      </c>
      <c r="M180">
        <v>4</v>
      </c>
      <c r="N180" s="17">
        <v>0.03</v>
      </c>
      <c r="O180" s="5">
        <v>128.08000000000001</v>
      </c>
      <c r="P180" s="8">
        <f>IF(Table1_2[[#This Row],[Sales]]=0, 0,Table1_2[[#This Row],[Profit]]/Table1_2[[#This Row],[Sales]])</f>
        <v>8.1204628308765264E-2</v>
      </c>
      <c r="Q180" s="7">
        <f>Table1_2[[#This Row],[Sales]]/Table1_2[[#This Row],[Quantity]]</f>
        <v>394.3125</v>
      </c>
      <c r="R180" t="str">
        <f>IF(Table1_2[[#This Row],[Profit]]&gt;0, "YES", "NO")</f>
        <v>YES</v>
      </c>
      <c r="S180" t="str">
        <f>TEXT(Table1_2[[#This Row],[Order Date]], "MMM")</f>
        <v>Sep</v>
      </c>
      <c r="T180" t="str">
        <f>TEXT(Table1_2[[#This Row],[Ship Date]],"YYYY")</f>
        <v>2021</v>
      </c>
      <c r="U180" s="1">
        <f>MONTH(1&amp;Table1_2[[#This Row],[Month]])</f>
        <v>9</v>
      </c>
    </row>
    <row r="181" spans="1:21" x14ac:dyDescent="0.3">
      <c r="A181" t="s">
        <v>194</v>
      </c>
      <c r="B181" s="2">
        <v>44201</v>
      </c>
      <c r="C181" s="2">
        <v>44232</v>
      </c>
      <c r="D181" t="s">
        <v>351</v>
      </c>
      <c r="E181" t="s">
        <v>355</v>
      </c>
      <c r="F181" t="s">
        <v>363</v>
      </c>
      <c r="G181" s="1" t="s">
        <v>366</v>
      </c>
      <c r="H181" s="1" t="s">
        <v>378</v>
      </c>
      <c r="I181" s="1" t="s">
        <v>383</v>
      </c>
      <c r="J181" t="s">
        <v>386</v>
      </c>
      <c r="K181" t="str">
        <f ca="1">TRIM(Table1_2[[#This Row],[Sub-Category]])</f>
        <v>Chairs</v>
      </c>
      <c r="L181" s="5">
        <v>509</v>
      </c>
      <c r="M181">
        <v>7</v>
      </c>
      <c r="N181" s="17">
        <v>0</v>
      </c>
      <c r="O181" s="5">
        <v>15.02</v>
      </c>
      <c r="P181" s="8">
        <f>IF(Table1_2[[#This Row],[Sales]]=0, 0,Table1_2[[#This Row],[Profit]]/Table1_2[[#This Row],[Sales]])</f>
        <v>2.9508840864440077E-2</v>
      </c>
      <c r="Q181" s="7">
        <f>Table1_2[[#This Row],[Sales]]/Table1_2[[#This Row],[Quantity]]</f>
        <v>72.714285714285708</v>
      </c>
      <c r="R181" t="str">
        <f>IF(Table1_2[[#This Row],[Profit]]&gt;0, "YES", "NO")</f>
        <v>YES</v>
      </c>
      <c r="S181" t="str">
        <f>TEXT(Table1_2[[#This Row],[Order Date]], "MMM")</f>
        <v>Jan</v>
      </c>
      <c r="T181" t="str">
        <f>TEXT(Table1_2[[#This Row],[Ship Date]],"YYYY")</f>
        <v>2021</v>
      </c>
      <c r="U181" s="1">
        <f>MONTH(1&amp;Table1_2[[#This Row],[Month]])</f>
        <v>1</v>
      </c>
    </row>
    <row r="182" spans="1:21" x14ac:dyDescent="0.3">
      <c r="A182" t="s">
        <v>195</v>
      </c>
      <c r="B182" s="2">
        <v>45121</v>
      </c>
      <c r="C182" s="2">
        <v>44536</v>
      </c>
      <c r="D182" t="s">
        <v>349</v>
      </c>
      <c r="E182" t="s">
        <v>354</v>
      </c>
      <c r="F182" t="s">
        <v>364</v>
      </c>
      <c r="G182" s="1" t="s">
        <v>371</v>
      </c>
      <c r="H182" s="1" t="s">
        <v>376</v>
      </c>
      <c r="I182" s="1" t="s">
        <v>372</v>
      </c>
      <c r="J182" t="s">
        <v>387</v>
      </c>
      <c r="K182" t="str">
        <f ca="1">TRIM(Table1_2[[#This Row],[Sub-Category]])</f>
        <v>Accessories</v>
      </c>
      <c r="L182" s="5">
        <v>1265.75</v>
      </c>
      <c r="M182">
        <v>5</v>
      </c>
      <c r="N182" s="17">
        <v>0.56000000000000005</v>
      </c>
      <c r="O182" s="5">
        <v>-87.65</v>
      </c>
      <c r="P182" s="8">
        <f>IF(Table1_2[[#This Row],[Sales]]=0, 0,Table1_2[[#This Row],[Profit]]/Table1_2[[#This Row],[Sales]])</f>
        <v>-6.9247481730199498E-2</v>
      </c>
      <c r="Q182" s="7">
        <f>Table1_2[[#This Row],[Sales]]/Table1_2[[#This Row],[Quantity]]</f>
        <v>253.15</v>
      </c>
      <c r="R182" t="str">
        <f>IF(Table1_2[[#This Row],[Profit]]&gt;0, "YES", "NO")</f>
        <v>NO</v>
      </c>
      <c r="S182" t="str">
        <f>TEXT(Table1_2[[#This Row],[Order Date]], "MMM")</f>
        <v>Jul</v>
      </c>
      <c r="T182" t="str">
        <f>TEXT(Table1_2[[#This Row],[Ship Date]],"YYYY")</f>
        <v>2021</v>
      </c>
      <c r="U182" s="1">
        <f>MONTH(1&amp;Table1_2[[#This Row],[Month]])</f>
        <v>7</v>
      </c>
    </row>
    <row r="183" spans="1:21" x14ac:dyDescent="0.3">
      <c r="A183" t="s">
        <v>196</v>
      </c>
      <c r="B183" s="2">
        <v>44213</v>
      </c>
      <c r="C183" s="2">
        <v>44850</v>
      </c>
      <c r="D183" t="s">
        <v>352</v>
      </c>
      <c r="E183" t="s">
        <v>353</v>
      </c>
      <c r="F183" t="s">
        <v>362</v>
      </c>
      <c r="G183" s="1" t="s">
        <v>367</v>
      </c>
      <c r="H183" s="1" t="s">
        <v>376</v>
      </c>
      <c r="I183" s="1" t="s">
        <v>383</v>
      </c>
      <c r="J183" t="s">
        <v>386</v>
      </c>
      <c r="K183" t="str">
        <f ca="1">TRIM(Table1_2[[#This Row],[Sub-Category]])</f>
        <v>Tables</v>
      </c>
      <c r="L183" s="5">
        <v>315.93</v>
      </c>
      <c r="M183">
        <v>3</v>
      </c>
      <c r="N183" s="17">
        <v>0.41</v>
      </c>
      <c r="O183" s="5">
        <v>17.43</v>
      </c>
      <c r="P183" s="8">
        <f>IF(Table1_2[[#This Row],[Sales]]=0, 0,Table1_2[[#This Row],[Profit]]/Table1_2[[#This Row],[Sales]])</f>
        <v>5.5170449150128191E-2</v>
      </c>
      <c r="Q183" s="7">
        <f>Table1_2[[#This Row],[Sales]]/Table1_2[[#This Row],[Quantity]]</f>
        <v>105.31</v>
      </c>
      <c r="R183" t="str">
        <f>IF(Table1_2[[#This Row],[Profit]]&gt;0, "YES", "NO")</f>
        <v>YES</v>
      </c>
      <c r="S183" t="str">
        <f>TEXT(Table1_2[[#This Row],[Order Date]], "MMM")</f>
        <v>Jan</v>
      </c>
      <c r="T183" t="str">
        <f>TEXT(Table1_2[[#This Row],[Ship Date]],"YYYY")</f>
        <v>2022</v>
      </c>
      <c r="U183" s="1">
        <f>MONTH(1&amp;Table1_2[[#This Row],[Month]])</f>
        <v>1</v>
      </c>
    </row>
    <row r="184" spans="1:21" x14ac:dyDescent="0.3">
      <c r="A184" t="s">
        <v>197</v>
      </c>
      <c r="B184" s="2">
        <v>44780</v>
      </c>
      <c r="C184" s="2">
        <v>44944</v>
      </c>
      <c r="D184" t="s">
        <v>349</v>
      </c>
      <c r="E184" t="s">
        <v>356</v>
      </c>
      <c r="F184" t="s">
        <v>361</v>
      </c>
      <c r="G184" s="1" t="s">
        <v>365</v>
      </c>
      <c r="H184" s="1" t="s">
        <v>414</v>
      </c>
      <c r="I184" s="1" t="s">
        <v>384</v>
      </c>
      <c r="J184" t="s">
        <v>388</v>
      </c>
      <c r="K184" t="str">
        <f ca="1">TRIM(Table1_2[[#This Row],[Sub-Category]])</f>
        <v>Phones</v>
      </c>
      <c r="L184" s="5">
        <v>733.96</v>
      </c>
      <c r="M184">
        <v>2</v>
      </c>
      <c r="N184" s="17">
        <v>0.34</v>
      </c>
      <c r="O184" s="5">
        <v>705.76</v>
      </c>
      <c r="P184" s="8">
        <f>IF(Table1_2[[#This Row],[Sales]]=0, 0,Table1_2[[#This Row],[Profit]]/Table1_2[[#This Row],[Sales]])</f>
        <v>0.96157828764510322</v>
      </c>
      <c r="Q184" s="7">
        <f>Table1_2[[#This Row],[Sales]]/Table1_2[[#This Row],[Quantity]]</f>
        <v>366.98</v>
      </c>
      <c r="R184" t="str">
        <f>IF(Table1_2[[#This Row],[Profit]]&gt;0, "YES", "NO")</f>
        <v>YES</v>
      </c>
      <c r="S184" t="str">
        <f>TEXT(Table1_2[[#This Row],[Order Date]], "MMM")</f>
        <v>Aug</v>
      </c>
      <c r="T184" t="str">
        <f>TEXT(Table1_2[[#This Row],[Ship Date]],"YYYY")</f>
        <v>2023</v>
      </c>
      <c r="U184" s="1">
        <f>MONTH(1&amp;Table1_2[[#This Row],[Month]])</f>
        <v>8</v>
      </c>
    </row>
    <row r="185" spans="1:21" x14ac:dyDescent="0.3">
      <c r="A185" t="s">
        <v>198</v>
      </c>
      <c r="B185" s="2">
        <v>45190</v>
      </c>
      <c r="C185" s="2">
        <v>45050</v>
      </c>
      <c r="D185" t="s">
        <v>350</v>
      </c>
      <c r="E185" t="s">
        <v>353</v>
      </c>
      <c r="F185" t="s">
        <v>362</v>
      </c>
      <c r="G185" s="1" t="s">
        <v>371</v>
      </c>
      <c r="H185" s="1" t="s">
        <v>415</v>
      </c>
      <c r="I185" s="1" t="s">
        <v>372</v>
      </c>
      <c r="J185" t="s">
        <v>387</v>
      </c>
      <c r="K185" t="str">
        <f ca="1">TRIM(Table1_2[[#This Row],[Sub-Category]])</f>
        <v>Paper</v>
      </c>
      <c r="L185" s="5">
        <v>1451.48</v>
      </c>
      <c r="M185">
        <v>6</v>
      </c>
      <c r="N185" s="17">
        <v>0.2</v>
      </c>
      <c r="O185" s="5">
        <v>-114.78</v>
      </c>
      <c r="P185" s="8">
        <f>IF(Table1_2[[#This Row],[Sales]]=0, 0,Table1_2[[#This Row],[Profit]]/Table1_2[[#This Row],[Sales]])</f>
        <v>-7.9077906688345689E-2</v>
      </c>
      <c r="Q185" s="7">
        <f>Table1_2[[#This Row],[Sales]]/Table1_2[[#This Row],[Quantity]]</f>
        <v>241.91333333333333</v>
      </c>
      <c r="R185" t="str">
        <f>IF(Table1_2[[#This Row],[Profit]]&gt;0, "YES", "NO")</f>
        <v>NO</v>
      </c>
      <c r="S185" t="str">
        <f>TEXT(Table1_2[[#This Row],[Order Date]], "MMM")</f>
        <v>Sep</v>
      </c>
      <c r="T185" t="str">
        <f>TEXT(Table1_2[[#This Row],[Ship Date]],"YYYY")</f>
        <v>2023</v>
      </c>
      <c r="U185" s="1">
        <f>MONTH(1&amp;Table1_2[[#This Row],[Month]])</f>
        <v>9</v>
      </c>
    </row>
    <row r="186" spans="1:21" x14ac:dyDescent="0.3">
      <c r="A186" t="s">
        <v>199</v>
      </c>
      <c r="B186" s="2">
        <v>44774</v>
      </c>
      <c r="C186" s="2">
        <v>44540</v>
      </c>
      <c r="D186" t="s">
        <v>351</v>
      </c>
      <c r="E186" t="s">
        <v>353</v>
      </c>
      <c r="F186" t="s">
        <v>361</v>
      </c>
      <c r="G186" s="1" t="s">
        <v>373</v>
      </c>
      <c r="H186" s="1" t="s">
        <v>415</v>
      </c>
      <c r="I186" s="1" t="s">
        <v>384</v>
      </c>
      <c r="J186" t="s">
        <v>387</v>
      </c>
      <c r="K186" t="str">
        <f ca="1">TRIM(Table1_2[[#This Row],[Sub-Category]])</f>
        <v>NA</v>
      </c>
      <c r="L186" s="5">
        <v>1267</v>
      </c>
      <c r="M186">
        <v>5</v>
      </c>
      <c r="N186" s="17">
        <v>0.34</v>
      </c>
      <c r="O186" s="5">
        <v>124.76</v>
      </c>
      <c r="P186" s="8">
        <f>IF(Table1_2[[#This Row],[Sales]]=0, 0,Table1_2[[#This Row],[Profit]]/Table1_2[[#This Row],[Sales]])</f>
        <v>9.8468823993685881E-2</v>
      </c>
      <c r="Q186" s="7">
        <f>Table1_2[[#This Row],[Sales]]/Table1_2[[#This Row],[Quantity]]</f>
        <v>253.4</v>
      </c>
      <c r="R186" t="str">
        <f>IF(Table1_2[[#This Row],[Profit]]&gt;0, "YES", "NO")</f>
        <v>YES</v>
      </c>
      <c r="S186" t="str">
        <f>TEXT(Table1_2[[#This Row],[Order Date]], "MMM")</f>
        <v>Aug</v>
      </c>
      <c r="T186" t="str">
        <f>TEXT(Table1_2[[#This Row],[Ship Date]],"YYYY")</f>
        <v>2021</v>
      </c>
      <c r="U186" s="1">
        <f>MONTH(1&amp;Table1_2[[#This Row],[Month]])</f>
        <v>8</v>
      </c>
    </row>
    <row r="187" spans="1:21" x14ac:dyDescent="0.3">
      <c r="A187" t="s">
        <v>200</v>
      </c>
      <c r="B187" s="2">
        <v>44781</v>
      </c>
      <c r="C187" s="2">
        <v>44366</v>
      </c>
      <c r="D187" t="s">
        <v>350</v>
      </c>
      <c r="E187" t="s">
        <v>353</v>
      </c>
      <c r="F187" t="s">
        <v>363</v>
      </c>
      <c r="G187" s="1" t="s">
        <v>415</v>
      </c>
      <c r="H187" s="1" t="s">
        <v>376</v>
      </c>
      <c r="I187" s="1" t="s">
        <v>384</v>
      </c>
      <c r="J187" t="s">
        <v>386</v>
      </c>
      <c r="K187" t="str">
        <f ca="1">TRIM(Table1_2[[#This Row],[Sub-Category]])</f>
        <v>Chairs</v>
      </c>
      <c r="L187" s="5">
        <v>383.84</v>
      </c>
      <c r="M187">
        <v>4</v>
      </c>
      <c r="N187" s="17">
        <v>0.53</v>
      </c>
      <c r="O187" s="5">
        <v>328.45</v>
      </c>
      <c r="P187" s="8">
        <f>IF(Table1_2[[#This Row],[Sales]]=0, 0,Table1_2[[#This Row],[Profit]]/Table1_2[[#This Row],[Sales]])</f>
        <v>0.85569508128386829</v>
      </c>
      <c r="Q187" s="7">
        <f>Table1_2[[#This Row],[Sales]]/Table1_2[[#This Row],[Quantity]]</f>
        <v>95.96</v>
      </c>
      <c r="R187" t="str">
        <f>IF(Table1_2[[#This Row],[Profit]]&gt;0, "YES", "NO")</f>
        <v>YES</v>
      </c>
      <c r="S187" t="str">
        <f>TEXT(Table1_2[[#This Row],[Order Date]], "MMM")</f>
        <v>Aug</v>
      </c>
      <c r="T187" t="str">
        <f>TEXT(Table1_2[[#This Row],[Ship Date]],"YYYY")</f>
        <v>2021</v>
      </c>
      <c r="U187" s="1">
        <f>MONTH(1&amp;Table1_2[[#This Row],[Month]])</f>
        <v>8</v>
      </c>
    </row>
    <row r="188" spans="1:21" x14ac:dyDescent="0.3">
      <c r="A188" t="s">
        <v>201</v>
      </c>
      <c r="B188" s="2">
        <v>44585</v>
      </c>
      <c r="C188" s="2">
        <v>44224</v>
      </c>
      <c r="D188" t="s">
        <v>352</v>
      </c>
      <c r="E188" t="s">
        <v>359</v>
      </c>
      <c r="F188" t="s">
        <v>362</v>
      </c>
      <c r="G188" s="1" t="s">
        <v>368</v>
      </c>
      <c r="H188" s="1" t="s">
        <v>380</v>
      </c>
      <c r="I188" s="1" t="s">
        <v>381</v>
      </c>
      <c r="J188" t="s">
        <v>372</v>
      </c>
      <c r="K188" t="str">
        <f ca="1">TRIM(Table1_2[[#This Row],[Sub-Category]])</f>
        <v>Paper</v>
      </c>
      <c r="L188" s="5">
        <v>1718</v>
      </c>
      <c r="M188">
        <v>7</v>
      </c>
      <c r="N188" s="17">
        <v>0.39</v>
      </c>
      <c r="O188" s="5">
        <v>154.51</v>
      </c>
      <c r="P188" s="8">
        <f>IF(Table1_2[[#This Row],[Sales]]=0, 0,Table1_2[[#This Row],[Profit]]/Table1_2[[#This Row],[Sales]])</f>
        <v>8.9935972060535496E-2</v>
      </c>
      <c r="Q188" s="7">
        <f>Table1_2[[#This Row],[Sales]]/Table1_2[[#This Row],[Quantity]]</f>
        <v>245.42857142857142</v>
      </c>
      <c r="R188" t="str">
        <f>IF(Table1_2[[#This Row],[Profit]]&gt;0, "YES", "NO")</f>
        <v>YES</v>
      </c>
      <c r="S188" t="str">
        <f>TEXT(Table1_2[[#This Row],[Order Date]], "MMM")</f>
        <v>Jan</v>
      </c>
      <c r="T188" t="str">
        <f>TEXT(Table1_2[[#This Row],[Ship Date]],"YYYY")</f>
        <v>2021</v>
      </c>
      <c r="U188" s="1">
        <f>MONTH(1&amp;Table1_2[[#This Row],[Month]])</f>
        <v>1</v>
      </c>
    </row>
    <row r="189" spans="1:21" x14ac:dyDescent="0.3">
      <c r="A189" t="s">
        <v>202</v>
      </c>
      <c r="B189" s="2">
        <v>44323</v>
      </c>
      <c r="C189" s="2">
        <v>44344</v>
      </c>
      <c r="D189" t="s">
        <v>349</v>
      </c>
      <c r="E189" t="s">
        <v>360</v>
      </c>
      <c r="F189" t="s">
        <v>364</v>
      </c>
      <c r="G189" s="1" t="s">
        <v>415</v>
      </c>
      <c r="H189" s="1" t="s">
        <v>376</v>
      </c>
      <c r="I189" s="1" t="s">
        <v>382</v>
      </c>
      <c r="J189" t="s">
        <v>387</v>
      </c>
      <c r="K189" t="str">
        <f ca="1">TRIM(Table1_2[[#This Row],[Sub-Category]])</f>
        <v>Binders</v>
      </c>
      <c r="L189" s="5">
        <v>116</v>
      </c>
      <c r="M189">
        <v>1</v>
      </c>
      <c r="N189" s="17">
        <v>0.36</v>
      </c>
      <c r="O189" s="5">
        <v>317.61</v>
      </c>
      <c r="P189" s="8">
        <f>IF(Table1_2[[#This Row],[Sales]]=0, 0,Table1_2[[#This Row],[Profit]]/Table1_2[[#This Row],[Sales]])</f>
        <v>2.7380172413793105</v>
      </c>
      <c r="Q189" s="7">
        <f>Table1_2[[#This Row],[Sales]]/Table1_2[[#This Row],[Quantity]]</f>
        <v>116</v>
      </c>
      <c r="R189" t="str">
        <f>IF(Table1_2[[#This Row],[Profit]]&gt;0, "YES", "NO")</f>
        <v>YES</v>
      </c>
      <c r="S189" t="str">
        <f>TEXT(Table1_2[[#This Row],[Order Date]], "MMM")</f>
        <v>May</v>
      </c>
      <c r="T189" t="str">
        <f>TEXT(Table1_2[[#This Row],[Ship Date]],"YYYY")</f>
        <v>2021</v>
      </c>
      <c r="U189" s="1">
        <f>MONTH(1&amp;Table1_2[[#This Row],[Month]])</f>
        <v>5</v>
      </c>
    </row>
    <row r="190" spans="1:21" x14ac:dyDescent="0.3">
      <c r="A190" t="s">
        <v>203</v>
      </c>
      <c r="B190" s="2">
        <v>44769</v>
      </c>
      <c r="C190" s="2">
        <v>44263</v>
      </c>
      <c r="D190" t="s">
        <v>350</v>
      </c>
      <c r="E190" t="s">
        <v>359</v>
      </c>
      <c r="F190" t="s">
        <v>364</v>
      </c>
      <c r="G190" s="1" t="s">
        <v>415</v>
      </c>
      <c r="H190" s="1" t="s">
        <v>377</v>
      </c>
      <c r="I190" s="1" t="s">
        <v>382</v>
      </c>
      <c r="J190" t="s">
        <v>372</v>
      </c>
      <c r="K190" t="str">
        <f ca="1">TRIM(Table1_2[[#This Row],[Sub-Category]])</f>
        <v>NA</v>
      </c>
      <c r="L190" s="5">
        <v>1194.48</v>
      </c>
      <c r="M190">
        <v>1</v>
      </c>
      <c r="N190" s="17">
        <v>0.28000000000000003</v>
      </c>
      <c r="O190" s="5">
        <v>-156.58000000000001</v>
      </c>
      <c r="P190" s="8">
        <f>IF(Table1_2[[#This Row],[Sales]]=0, 0,Table1_2[[#This Row],[Profit]]/Table1_2[[#This Row],[Sales]])</f>
        <v>-0.13108633045341908</v>
      </c>
      <c r="Q190" s="7">
        <f>Table1_2[[#This Row],[Sales]]/Table1_2[[#This Row],[Quantity]]</f>
        <v>1194.48</v>
      </c>
      <c r="R190" t="str">
        <f>IF(Table1_2[[#This Row],[Profit]]&gt;0, "YES", "NO")</f>
        <v>NO</v>
      </c>
      <c r="S190" t="str">
        <f>TEXT(Table1_2[[#This Row],[Order Date]], "MMM")</f>
        <v>Jul</v>
      </c>
      <c r="T190" t="str">
        <f>TEXT(Table1_2[[#This Row],[Ship Date]],"YYYY")</f>
        <v>2021</v>
      </c>
      <c r="U190" s="1">
        <f>MONTH(1&amp;Table1_2[[#This Row],[Month]])</f>
        <v>7</v>
      </c>
    </row>
    <row r="191" spans="1:21" x14ac:dyDescent="0.3">
      <c r="A191" t="s">
        <v>204</v>
      </c>
      <c r="B191" s="2">
        <v>45094</v>
      </c>
      <c r="C191" s="2">
        <v>45058</v>
      </c>
      <c r="D191" t="s">
        <v>352</v>
      </c>
      <c r="E191" t="s">
        <v>359</v>
      </c>
      <c r="F191" t="s">
        <v>362</v>
      </c>
      <c r="G191" s="1" t="s">
        <v>370</v>
      </c>
      <c r="H191" s="1" t="s">
        <v>374</v>
      </c>
      <c r="I191" s="1" t="s">
        <v>383</v>
      </c>
      <c r="J191" t="s">
        <v>372</v>
      </c>
      <c r="K191" t="str">
        <f ca="1">TRIM(Table1_2[[#This Row],[Sub-Category]])</f>
        <v>Tables</v>
      </c>
      <c r="L191" s="5">
        <v>1967.8</v>
      </c>
      <c r="M191">
        <v>9</v>
      </c>
      <c r="N191" s="17">
        <v>0.21</v>
      </c>
      <c r="O191" s="5">
        <v>449</v>
      </c>
      <c r="P191" s="8">
        <f>IF(Table1_2[[#This Row],[Sales]]=0, 0,Table1_2[[#This Row],[Profit]]/Table1_2[[#This Row],[Sales]])</f>
        <v>0.2281735948775282</v>
      </c>
      <c r="Q191" s="7">
        <f>Table1_2[[#This Row],[Sales]]/Table1_2[[#This Row],[Quantity]]</f>
        <v>218.64444444444445</v>
      </c>
      <c r="R191" t="str">
        <f>IF(Table1_2[[#This Row],[Profit]]&gt;0, "YES", "NO")</f>
        <v>YES</v>
      </c>
      <c r="S191" t="str">
        <f>TEXT(Table1_2[[#This Row],[Order Date]], "MMM")</f>
        <v>Jun</v>
      </c>
      <c r="T191" t="str">
        <f>TEXT(Table1_2[[#This Row],[Ship Date]],"YYYY")</f>
        <v>2023</v>
      </c>
      <c r="U191" s="1">
        <f>MONTH(1&amp;Table1_2[[#This Row],[Month]])</f>
        <v>6</v>
      </c>
    </row>
    <row r="192" spans="1:21" x14ac:dyDescent="0.3">
      <c r="A192" t="s">
        <v>205</v>
      </c>
      <c r="B192" s="2">
        <v>44288</v>
      </c>
      <c r="C192" s="2">
        <v>44466</v>
      </c>
      <c r="D192" t="s">
        <v>350</v>
      </c>
      <c r="E192" t="s">
        <v>358</v>
      </c>
      <c r="F192" t="s">
        <v>363</v>
      </c>
      <c r="G192" s="1" t="s">
        <v>415</v>
      </c>
      <c r="H192" s="1" t="s">
        <v>380</v>
      </c>
      <c r="I192" s="1" t="s">
        <v>382</v>
      </c>
      <c r="J192" t="s">
        <v>388</v>
      </c>
      <c r="K192" t="str">
        <f ca="1">TRIM(Table1_2[[#This Row],[Sub-Category]])</f>
        <v>Accessories</v>
      </c>
      <c r="L192" s="5">
        <v>1067.69</v>
      </c>
      <c r="M192">
        <v>6</v>
      </c>
      <c r="N192" s="17">
        <v>0.42</v>
      </c>
      <c r="O192" s="5">
        <v>363.48</v>
      </c>
      <c r="P192" s="8">
        <f>IF(Table1_2[[#This Row],[Sales]]=0, 0,Table1_2[[#This Row],[Profit]]/Table1_2[[#This Row],[Sales]])</f>
        <v>0.3404358943138926</v>
      </c>
      <c r="Q192" s="7">
        <f>Table1_2[[#This Row],[Sales]]/Table1_2[[#This Row],[Quantity]]</f>
        <v>177.94833333333335</v>
      </c>
      <c r="R192" t="str">
        <f>IF(Table1_2[[#This Row],[Profit]]&gt;0, "YES", "NO")</f>
        <v>YES</v>
      </c>
      <c r="S192" t="str">
        <f>TEXT(Table1_2[[#This Row],[Order Date]], "MMM")</f>
        <v>Apr</v>
      </c>
      <c r="T192" t="str">
        <f>TEXT(Table1_2[[#This Row],[Ship Date]],"YYYY")</f>
        <v>2021</v>
      </c>
      <c r="U192" s="1">
        <f>MONTH(1&amp;Table1_2[[#This Row],[Month]])</f>
        <v>4</v>
      </c>
    </row>
    <row r="193" spans="1:21" x14ac:dyDescent="0.3">
      <c r="A193" t="s">
        <v>206</v>
      </c>
      <c r="B193" s="2">
        <v>45077</v>
      </c>
      <c r="C193" s="2">
        <v>45021</v>
      </c>
      <c r="D193" t="s">
        <v>351</v>
      </c>
      <c r="E193" t="s">
        <v>358</v>
      </c>
      <c r="F193" t="s">
        <v>362</v>
      </c>
      <c r="G193" s="1" t="s">
        <v>366</v>
      </c>
      <c r="H193" s="1" t="s">
        <v>379</v>
      </c>
      <c r="I193" s="1" t="s">
        <v>385</v>
      </c>
      <c r="J193" t="s">
        <v>388</v>
      </c>
      <c r="K193" t="str">
        <f ca="1">TRIM(Table1_2[[#This Row],[Sub-Category]])</f>
        <v>Phones</v>
      </c>
      <c r="L193" s="5">
        <v>1603.34</v>
      </c>
      <c r="M193">
        <v>5</v>
      </c>
      <c r="N193" s="17">
        <v>0.59</v>
      </c>
      <c r="O193" s="5">
        <v>480.97</v>
      </c>
      <c r="P193" s="8">
        <f>IF(Table1_2[[#This Row],[Sales]]=0, 0,Table1_2[[#This Row],[Profit]]/Table1_2[[#This Row],[Sales]])</f>
        <v>0.29998004166302844</v>
      </c>
      <c r="Q193" s="7">
        <f>Table1_2[[#This Row],[Sales]]/Table1_2[[#This Row],[Quantity]]</f>
        <v>320.66800000000001</v>
      </c>
      <c r="R193" t="str">
        <f>IF(Table1_2[[#This Row],[Profit]]&gt;0, "YES", "NO")</f>
        <v>YES</v>
      </c>
      <c r="S193" t="str">
        <f>TEXT(Table1_2[[#This Row],[Order Date]], "MMM")</f>
        <v>May</v>
      </c>
      <c r="T193" t="str">
        <f>TEXT(Table1_2[[#This Row],[Ship Date]],"YYYY")</f>
        <v>2023</v>
      </c>
      <c r="U193" s="1">
        <f>MONTH(1&amp;Table1_2[[#This Row],[Month]])</f>
        <v>5</v>
      </c>
    </row>
    <row r="194" spans="1:21" x14ac:dyDescent="0.3">
      <c r="A194" t="s">
        <v>207</v>
      </c>
      <c r="B194" s="2">
        <v>44612</v>
      </c>
      <c r="C194" s="2">
        <v>44811</v>
      </c>
      <c r="D194" t="s">
        <v>351</v>
      </c>
      <c r="E194" t="s">
        <v>359</v>
      </c>
      <c r="F194" t="s">
        <v>362</v>
      </c>
      <c r="G194" s="1" t="s">
        <v>415</v>
      </c>
      <c r="H194" s="1" t="s">
        <v>374</v>
      </c>
      <c r="I194" s="1" t="s">
        <v>382</v>
      </c>
      <c r="J194" t="s">
        <v>386</v>
      </c>
      <c r="K194" t="str">
        <f ca="1">TRIM(Table1_2[[#This Row],[Sub-Category]])</f>
        <v>Chairs</v>
      </c>
      <c r="L194" s="5">
        <v>1194.4100000000001</v>
      </c>
      <c r="M194">
        <v>1</v>
      </c>
      <c r="N194" s="17">
        <v>0.25</v>
      </c>
      <c r="O194" s="5">
        <v>367.26</v>
      </c>
      <c r="P194" s="8">
        <f>IF(Table1_2[[#This Row],[Sales]]=0, 0,Table1_2[[#This Row],[Profit]]/Table1_2[[#This Row],[Sales]])</f>
        <v>0.30748235530512968</v>
      </c>
      <c r="Q194" s="7">
        <f>Table1_2[[#This Row],[Sales]]/Table1_2[[#This Row],[Quantity]]</f>
        <v>1194.4100000000001</v>
      </c>
      <c r="R194" t="str">
        <f>IF(Table1_2[[#This Row],[Profit]]&gt;0, "YES", "NO")</f>
        <v>YES</v>
      </c>
      <c r="S194" t="str">
        <f>TEXT(Table1_2[[#This Row],[Order Date]], "MMM")</f>
        <v>Feb</v>
      </c>
      <c r="T194" t="str">
        <f>TEXT(Table1_2[[#This Row],[Ship Date]],"YYYY")</f>
        <v>2022</v>
      </c>
      <c r="U194" s="1">
        <f>MONTH(1&amp;Table1_2[[#This Row],[Month]])</f>
        <v>2</v>
      </c>
    </row>
    <row r="195" spans="1:21" x14ac:dyDescent="0.3">
      <c r="A195" t="s">
        <v>208</v>
      </c>
      <c r="B195" s="2">
        <v>44733</v>
      </c>
      <c r="C195" s="2">
        <v>44736</v>
      </c>
      <c r="D195" t="s">
        <v>349</v>
      </c>
      <c r="E195" t="s">
        <v>355</v>
      </c>
      <c r="F195" t="s">
        <v>362</v>
      </c>
      <c r="G195" s="1" t="s">
        <v>371</v>
      </c>
      <c r="H195" s="1" t="s">
        <v>415</v>
      </c>
      <c r="I195" s="1" t="s">
        <v>385</v>
      </c>
      <c r="J195" t="s">
        <v>387</v>
      </c>
      <c r="K195" t="str">
        <f ca="1">TRIM(Table1_2[[#This Row],[Sub-Category]])</f>
        <v>Paper</v>
      </c>
      <c r="L195" s="5">
        <v>1568.35</v>
      </c>
      <c r="M195">
        <v>6</v>
      </c>
      <c r="N195" s="17">
        <v>0.24</v>
      </c>
      <c r="O195" s="5">
        <v>237.9</v>
      </c>
      <c r="P195" s="8">
        <f>IF(Table1_2[[#This Row],[Sales]]=0, 0,Table1_2[[#This Row],[Profit]]/Table1_2[[#This Row],[Sales]])</f>
        <v>0.15168807982911978</v>
      </c>
      <c r="Q195" s="7">
        <f>Table1_2[[#This Row],[Sales]]/Table1_2[[#This Row],[Quantity]]</f>
        <v>261.39166666666665</v>
      </c>
      <c r="R195" t="str">
        <f>IF(Table1_2[[#This Row],[Profit]]&gt;0, "YES", "NO")</f>
        <v>YES</v>
      </c>
      <c r="S195" t="str">
        <f>TEXT(Table1_2[[#This Row],[Order Date]], "MMM")</f>
        <v>Jun</v>
      </c>
      <c r="T195" t="str">
        <f>TEXT(Table1_2[[#This Row],[Ship Date]],"YYYY")</f>
        <v>2022</v>
      </c>
      <c r="U195" s="1">
        <f>MONTH(1&amp;Table1_2[[#This Row],[Month]])</f>
        <v>6</v>
      </c>
    </row>
    <row r="196" spans="1:21" x14ac:dyDescent="0.3">
      <c r="A196" t="s">
        <v>209</v>
      </c>
      <c r="B196" s="2">
        <v>44362</v>
      </c>
      <c r="C196" s="2">
        <v>44652</v>
      </c>
      <c r="D196" t="s">
        <v>350</v>
      </c>
      <c r="E196" t="s">
        <v>359</v>
      </c>
      <c r="F196" t="s">
        <v>362</v>
      </c>
      <c r="G196" s="1" t="s">
        <v>366</v>
      </c>
      <c r="H196" s="1" t="s">
        <v>379</v>
      </c>
      <c r="I196" s="1" t="s">
        <v>381</v>
      </c>
      <c r="J196" t="s">
        <v>387</v>
      </c>
      <c r="K196" t="str">
        <f ca="1">TRIM(Table1_2[[#This Row],[Sub-Category]])</f>
        <v>Accessories</v>
      </c>
      <c r="L196" s="5">
        <v>1315</v>
      </c>
      <c r="M196">
        <v>4</v>
      </c>
      <c r="N196" s="17">
        <v>0.26</v>
      </c>
      <c r="O196" s="5">
        <v>150.13999999999999</v>
      </c>
      <c r="P196" s="8">
        <f>IF(Table1_2[[#This Row],[Sales]]=0, 0,Table1_2[[#This Row],[Profit]]/Table1_2[[#This Row],[Sales]])</f>
        <v>0.11417490494296577</v>
      </c>
      <c r="Q196" s="7">
        <f>Table1_2[[#This Row],[Sales]]/Table1_2[[#This Row],[Quantity]]</f>
        <v>328.75</v>
      </c>
      <c r="R196" t="str">
        <f>IF(Table1_2[[#This Row],[Profit]]&gt;0, "YES", "NO")</f>
        <v>YES</v>
      </c>
      <c r="S196" t="str">
        <f>TEXT(Table1_2[[#This Row],[Order Date]], "MMM")</f>
        <v>Jun</v>
      </c>
      <c r="T196" t="str">
        <f>TEXT(Table1_2[[#This Row],[Ship Date]],"YYYY")</f>
        <v>2022</v>
      </c>
      <c r="U196" s="1">
        <f>MONTH(1&amp;Table1_2[[#This Row],[Month]])</f>
        <v>6</v>
      </c>
    </row>
    <row r="197" spans="1:21" x14ac:dyDescent="0.3">
      <c r="A197" t="s">
        <v>210</v>
      </c>
      <c r="B197" s="2">
        <v>44818</v>
      </c>
      <c r="C197" s="2">
        <v>44930</v>
      </c>
      <c r="D197" t="s">
        <v>351</v>
      </c>
      <c r="E197" t="s">
        <v>356</v>
      </c>
      <c r="F197" t="s">
        <v>363</v>
      </c>
      <c r="G197" s="1" t="s">
        <v>371</v>
      </c>
      <c r="H197" s="1" t="s">
        <v>376</v>
      </c>
      <c r="I197" s="1" t="s">
        <v>383</v>
      </c>
      <c r="J197" t="s">
        <v>386</v>
      </c>
      <c r="K197" t="str">
        <f ca="1">TRIM(Table1_2[[#This Row],[Sub-Category]])</f>
        <v>Tables</v>
      </c>
      <c r="L197" s="5">
        <v>1385.35</v>
      </c>
      <c r="M197">
        <v>6</v>
      </c>
      <c r="N197" s="17">
        <v>0.26</v>
      </c>
      <c r="O197" s="5">
        <v>26.44</v>
      </c>
      <c r="P197" s="8">
        <f>IF(Table1_2[[#This Row],[Sales]]=0, 0,Table1_2[[#This Row],[Profit]]/Table1_2[[#This Row],[Sales]])</f>
        <v>1.9085429674811423E-2</v>
      </c>
      <c r="Q197" s="7">
        <f>Table1_2[[#This Row],[Sales]]/Table1_2[[#This Row],[Quantity]]</f>
        <v>230.89166666666665</v>
      </c>
      <c r="R197" t="str">
        <f>IF(Table1_2[[#This Row],[Profit]]&gt;0, "YES", "NO")</f>
        <v>YES</v>
      </c>
      <c r="S197" t="str">
        <f>TEXT(Table1_2[[#This Row],[Order Date]], "MMM")</f>
        <v>Sep</v>
      </c>
      <c r="T197" t="str">
        <f>TEXT(Table1_2[[#This Row],[Ship Date]],"YYYY")</f>
        <v>2023</v>
      </c>
      <c r="U197" s="1">
        <f>MONTH(1&amp;Table1_2[[#This Row],[Month]])</f>
        <v>9</v>
      </c>
    </row>
    <row r="198" spans="1:21" x14ac:dyDescent="0.3">
      <c r="A198" t="s">
        <v>211</v>
      </c>
      <c r="B198" s="2">
        <v>44379</v>
      </c>
      <c r="C198" s="2">
        <v>44241</v>
      </c>
      <c r="D198" t="s">
        <v>352</v>
      </c>
      <c r="E198" t="s">
        <v>354</v>
      </c>
      <c r="F198" t="s">
        <v>364</v>
      </c>
      <c r="G198" s="1" t="s">
        <v>370</v>
      </c>
      <c r="H198" s="1" t="s">
        <v>415</v>
      </c>
      <c r="I198" s="1" t="s">
        <v>384</v>
      </c>
      <c r="J198" t="s">
        <v>372</v>
      </c>
      <c r="K198" t="str">
        <f ca="1">TRIM(Table1_2[[#This Row],[Sub-Category]])</f>
        <v>Paper</v>
      </c>
      <c r="L198" s="5">
        <v>463.34</v>
      </c>
      <c r="M198">
        <v>1</v>
      </c>
      <c r="N198" s="17">
        <v>0.59</v>
      </c>
      <c r="O198" s="5">
        <v>300.07</v>
      </c>
      <c r="P198" s="8">
        <f>IF(Table1_2[[#This Row],[Sales]]=0, 0,Table1_2[[#This Row],[Profit]]/Table1_2[[#This Row],[Sales]])</f>
        <v>0.64762377519747916</v>
      </c>
      <c r="Q198" s="7">
        <f>Table1_2[[#This Row],[Sales]]/Table1_2[[#This Row],[Quantity]]</f>
        <v>463.34</v>
      </c>
      <c r="R198" t="str">
        <f>IF(Table1_2[[#This Row],[Profit]]&gt;0, "YES", "NO")</f>
        <v>YES</v>
      </c>
      <c r="S198" t="str">
        <f>TEXT(Table1_2[[#This Row],[Order Date]], "MMM")</f>
        <v>Jul</v>
      </c>
      <c r="T198" t="str">
        <f>TEXT(Table1_2[[#This Row],[Ship Date]],"YYYY")</f>
        <v>2021</v>
      </c>
      <c r="U198" s="1">
        <f>MONTH(1&amp;Table1_2[[#This Row],[Month]])</f>
        <v>7</v>
      </c>
    </row>
    <row r="199" spans="1:21" x14ac:dyDescent="0.3">
      <c r="A199" t="s">
        <v>212</v>
      </c>
      <c r="B199" s="2">
        <v>44470</v>
      </c>
      <c r="C199" s="2">
        <v>44290</v>
      </c>
      <c r="D199" t="s">
        <v>352</v>
      </c>
      <c r="E199" t="s">
        <v>356</v>
      </c>
      <c r="F199" t="s">
        <v>362</v>
      </c>
      <c r="G199" s="1" t="s">
        <v>371</v>
      </c>
      <c r="H199" s="1" t="s">
        <v>379</v>
      </c>
      <c r="I199" s="1" t="s">
        <v>382</v>
      </c>
      <c r="J199" t="s">
        <v>388</v>
      </c>
      <c r="K199" t="str">
        <f ca="1">TRIM(Table1_2[[#This Row],[Sub-Category]])</f>
        <v>Tables</v>
      </c>
      <c r="L199" s="5">
        <v>1486.22</v>
      </c>
      <c r="M199">
        <v>5</v>
      </c>
      <c r="N199" s="17">
        <v>0.42</v>
      </c>
      <c r="O199" s="5">
        <v>-173.95</v>
      </c>
      <c r="P199" s="8">
        <f>IF(Table1_2[[#This Row],[Sales]]=0, 0,Table1_2[[#This Row],[Profit]]/Table1_2[[#This Row],[Sales]])</f>
        <v>-0.11704189151000524</v>
      </c>
      <c r="Q199" s="7">
        <f>Table1_2[[#This Row],[Sales]]/Table1_2[[#This Row],[Quantity]]</f>
        <v>297.24400000000003</v>
      </c>
      <c r="R199" t="str">
        <f>IF(Table1_2[[#This Row],[Profit]]&gt;0, "YES", "NO")</f>
        <v>NO</v>
      </c>
      <c r="S199" t="str">
        <f>TEXT(Table1_2[[#This Row],[Order Date]], "MMM")</f>
        <v>Oct</v>
      </c>
      <c r="T199" t="str">
        <f>TEXT(Table1_2[[#This Row],[Ship Date]],"YYYY")</f>
        <v>2021</v>
      </c>
      <c r="U199" s="1">
        <f>MONTH(1&amp;Table1_2[[#This Row],[Month]])</f>
        <v>10</v>
      </c>
    </row>
    <row r="200" spans="1:21" x14ac:dyDescent="0.3">
      <c r="A200" t="s">
        <v>213</v>
      </c>
      <c r="B200" s="2">
        <v>44918</v>
      </c>
      <c r="C200" s="2">
        <v>44621</v>
      </c>
      <c r="D200" t="s">
        <v>349</v>
      </c>
      <c r="E200" t="s">
        <v>354</v>
      </c>
      <c r="F200" t="s">
        <v>362</v>
      </c>
      <c r="G200" s="1" t="s">
        <v>370</v>
      </c>
      <c r="H200" s="1" t="s">
        <v>378</v>
      </c>
      <c r="I200" s="1" t="s">
        <v>385</v>
      </c>
      <c r="J200" t="s">
        <v>386</v>
      </c>
      <c r="K200" t="str">
        <f ca="1">TRIM(Table1_2[[#This Row],[Sub-Category]])</f>
        <v>NA</v>
      </c>
      <c r="L200" s="5">
        <v>483.44</v>
      </c>
      <c r="M200">
        <v>6</v>
      </c>
      <c r="N200" s="17">
        <v>0.22</v>
      </c>
      <c r="O200" s="5">
        <v>128</v>
      </c>
      <c r="P200" s="8">
        <f>IF(Table1_2[[#This Row],[Sales]]=0, 0,Table1_2[[#This Row],[Profit]]/Table1_2[[#This Row],[Sales]])</f>
        <v>0.26476915439351317</v>
      </c>
      <c r="Q200" s="7">
        <f>Table1_2[[#This Row],[Sales]]/Table1_2[[#This Row],[Quantity]]</f>
        <v>80.573333333333338</v>
      </c>
      <c r="R200" t="str">
        <f>IF(Table1_2[[#This Row],[Profit]]&gt;0, "YES", "NO")</f>
        <v>YES</v>
      </c>
      <c r="S200" t="str">
        <f>TEXT(Table1_2[[#This Row],[Order Date]], "MMM")</f>
        <v>Dec</v>
      </c>
      <c r="T200" t="str">
        <f>TEXT(Table1_2[[#This Row],[Ship Date]],"YYYY")</f>
        <v>2022</v>
      </c>
      <c r="U200" s="1">
        <f>MONTH(1&amp;Table1_2[[#This Row],[Month]])</f>
        <v>12</v>
      </c>
    </row>
    <row r="201" spans="1:21" x14ac:dyDescent="0.3">
      <c r="A201" t="s">
        <v>214</v>
      </c>
      <c r="B201" s="2">
        <v>44247</v>
      </c>
      <c r="C201" s="2">
        <v>44592</v>
      </c>
      <c r="D201" t="s">
        <v>352</v>
      </c>
      <c r="E201" t="s">
        <v>353</v>
      </c>
      <c r="F201" t="s">
        <v>362</v>
      </c>
      <c r="G201" s="1" t="s">
        <v>371</v>
      </c>
      <c r="H201" s="1" t="s">
        <v>376</v>
      </c>
      <c r="I201" s="1" t="s">
        <v>382</v>
      </c>
      <c r="J201" t="s">
        <v>386</v>
      </c>
      <c r="K201" t="str">
        <f ca="1">TRIM(Table1_2[[#This Row],[Sub-Category]])</f>
        <v>Paper</v>
      </c>
      <c r="L201" s="5">
        <v>1961</v>
      </c>
      <c r="M201">
        <v>3</v>
      </c>
      <c r="N201" s="17">
        <v>0.22</v>
      </c>
      <c r="O201" s="5">
        <v>477.87</v>
      </c>
      <c r="P201" s="8">
        <f>IF(Table1_2[[#This Row],[Sales]]=0, 0,Table1_2[[#This Row],[Profit]]/Table1_2[[#This Row],[Sales]])</f>
        <v>0.24368689444161143</v>
      </c>
      <c r="Q201" s="7">
        <f>Table1_2[[#This Row],[Sales]]/Table1_2[[#This Row],[Quantity]]</f>
        <v>653.66666666666663</v>
      </c>
      <c r="R201" t="str">
        <f>IF(Table1_2[[#This Row],[Profit]]&gt;0, "YES", "NO")</f>
        <v>YES</v>
      </c>
      <c r="S201" t="str">
        <f>TEXT(Table1_2[[#This Row],[Order Date]], "MMM")</f>
        <v>Feb</v>
      </c>
      <c r="T201" t="str">
        <f>TEXT(Table1_2[[#This Row],[Ship Date]],"YYYY")</f>
        <v>2022</v>
      </c>
      <c r="U201" s="1">
        <f>MONTH(1&amp;Table1_2[[#This Row],[Month]])</f>
        <v>2</v>
      </c>
    </row>
    <row r="202" spans="1:21" x14ac:dyDescent="0.3">
      <c r="A202" t="s">
        <v>215</v>
      </c>
      <c r="B202" s="2">
        <v>44644</v>
      </c>
      <c r="C202" s="2">
        <v>44743</v>
      </c>
      <c r="D202" t="s">
        <v>352</v>
      </c>
      <c r="E202" t="s">
        <v>359</v>
      </c>
      <c r="F202" t="s">
        <v>362</v>
      </c>
      <c r="G202" s="1" t="s">
        <v>373</v>
      </c>
      <c r="H202" s="1" t="s">
        <v>376</v>
      </c>
      <c r="I202" s="1" t="s">
        <v>384</v>
      </c>
      <c r="J202" t="s">
        <v>372</v>
      </c>
      <c r="K202" t="str">
        <f ca="1">TRIM(Table1_2[[#This Row],[Sub-Category]])</f>
        <v>NA</v>
      </c>
      <c r="L202" s="5">
        <v>463.3</v>
      </c>
      <c r="M202">
        <v>1</v>
      </c>
      <c r="N202" s="17">
        <v>0.26</v>
      </c>
      <c r="O202" s="5">
        <v>-91.28</v>
      </c>
      <c r="P202" s="8">
        <f>IF(Table1_2[[#This Row],[Sales]]=0, 0,Table1_2[[#This Row],[Profit]]/Table1_2[[#This Row],[Sales]])</f>
        <v>-0.19702136844377294</v>
      </c>
      <c r="Q202" s="7">
        <f>Table1_2[[#This Row],[Sales]]/Table1_2[[#This Row],[Quantity]]</f>
        <v>463.3</v>
      </c>
      <c r="R202" t="str">
        <f>IF(Table1_2[[#This Row],[Profit]]&gt;0, "YES", "NO")</f>
        <v>NO</v>
      </c>
      <c r="S202" t="str">
        <f>TEXT(Table1_2[[#This Row],[Order Date]], "MMM")</f>
        <v>Mar</v>
      </c>
      <c r="T202" t="str">
        <f>TEXT(Table1_2[[#This Row],[Ship Date]],"YYYY")</f>
        <v>2022</v>
      </c>
      <c r="U202" s="1">
        <f>MONTH(1&amp;Table1_2[[#This Row],[Month]])</f>
        <v>3</v>
      </c>
    </row>
    <row r="203" spans="1:21" x14ac:dyDescent="0.3">
      <c r="A203" t="s">
        <v>216</v>
      </c>
      <c r="B203" s="2">
        <v>44791</v>
      </c>
      <c r="C203" s="2">
        <v>45170</v>
      </c>
      <c r="D203" t="s">
        <v>350</v>
      </c>
      <c r="E203" t="s">
        <v>355</v>
      </c>
      <c r="F203" t="s">
        <v>363</v>
      </c>
      <c r="G203" s="1" t="s">
        <v>371</v>
      </c>
      <c r="H203" s="1" t="s">
        <v>414</v>
      </c>
      <c r="I203" s="1" t="s">
        <v>382</v>
      </c>
      <c r="J203" t="s">
        <v>386</v>
      </c>
      <c r="K203" t="str">
        <f ca="1">TRIM(Table1_2[[#This Row],[Sub-Category]])</f>
        <v>Accessories</v>
      </c>
      <c r="L203" s="5">
        <v>481</v>
      </c>
      <c r="M203">
        <v>9</v>
      </c>
      <c r="N203" s="17">
        <v>0.02</v>
      </c>
      <c r="O203" s="5">
        <v>-137</v>
      </c>
      <c r="P203" s="8">
        <f>IF(Table1_2[[#This Row],[Sales]]=0, 0,Table1_2[[#This Row],[Profit]]/Table1_2[[#This Row],[Sales]])</f>
        <v>-0.28482328482328484</v>
      </c>
      <c r="Q203" s="7">
        <f>Table1_2[[#This Row],[Sales]]/Table1_2[[#This Row],[Quantity]]</f>
        <v>53.444444444444443</v>
      </c>
      <c r="R203" t="str">
        <f>IF(Table1_2[[#This Row],[Profit]]&gt;0, "YES", "NO")</f>
        <v>NO</v>
      </c>
      <c r="S203" t="str">
        <f>TEXT(Table1_2[[#This Row],[Order Date]], "MMM")</f>
        <v>Aug</v>
      </c>
      <c r="T203" t="str">
        <f>TEXT(Table1_2[[#This Row],[Ship Date]],"YYYY")</f>
        <v>2023</v>
      </c>
      <c r="U203" s="1">
        <f>MONTH(1&amp;Table1_2[[#This Row],[Month]])</f>
        <v>8</v>
      </c>
    </row>
    <row r="204" spans="1:21" x14ac:dyDescent="0.3">
      <c r="A204" t="s">
        <v>217</v>
      </c>
      <c r="B204" s="2">
        <v>44329</v>
      </c>
      <c r="C204" s="2">
        <v>44785</v>
      </c>
      <c r="D204" t="s">
        <v>352</v>
      </c>
      <c r="E204" t="s">
        <v>354</v>
      </c>
      <c r="F204" t="s">
        <v>362</v>
      </c>
      <c r="G204" s="1" t="s">
        <v>368</v>
      </c>
      <c r="H204" s="1" t="s">
        <v>374</v>
      </c>
      <c r="I204" s="1" t="s">
        <v>372</v>
      </c>
      <c r="J204" t="s">
        <v>386</v>
      </c>
      <c r="K204" t="str">
        <f ca="1">TRIM(Table1_2[[#This Row],[Sub-Category]])</f>
        <v>NA</v>
      </c>
      <c r="L204" s="5">
        <v>1718.76</v>
      </c>
      <c r="M204">
        <v>7</v>
      </c>
      <c r="N204" s="17">
        <v>0.32</v>
      </c>
      <c r="O204" s="5">
        <v>452.18</v>
      </c>
      <c r="P204" s="8">
        <f>IF(Table1_2[[#This Row],[Sales]]=0, 0,Table1_2[[#This Row],[Profit]]/Table1_2[[#This Row],[Sales]])</f>
        <v>0.26308501477809582</v>
      </c>
      <c r="Q204" s="7">
        <f>Table1_2[[#This Row],[Sales]]/Table1_2[[#This Row],[Quantity]]</f>
        <v>245.53714285714287</v>
      </c>
      <c r="R204" t="str">
        <f>IF(Table1_2[[#This Row],[Profit]]&gt;0, "YES", "NO")</f>
        <v>YES</v>
      </c>
      <c r="S204" t="str">
        <f>TEXT(Table1_2[[#This Row],[Order Date]], "MMM")</f>
        <v>May</v>
      </c>
      <c r="T204" t="str">
        <f>TEXT(Table1_2[[#This Row],[Ship Date]],"YYYY")</f>
        <v>2022</v>
      </c>
      <c r="U204" s="1">
        <f>MONTH(1&amp;Table1_2[[#This Row],[Month]])</f>
        <v>5</v>
      </c>
    </row>
    <row r="205" spans="1:21" x14ac:dyDescent="0.3">
      <c r="A205" t="s">
        <v>218</v>
      </c>
      <c r="B205" s="2">
        <v>44491</v>
      </c>
      <c r="C205" s="2">
        <v>44455</v>
      </c>
      <c r="D205" t="s">
        <v>349</v>
      </c>
      <c r="E205" t="s">
        <v>359</v>
      </c>
      <c r="F205" t="s">
        <v>362</v>
      </c>
      <c r="G205" s="1" t="s">
        <v>370</v>
      </c>
      <c r="H205" s="1" t="s">
        <v>376</v>
      </c>
      <c r="I205" s="1" t="s">
        <v>385</v>
      </c>
      <c r="J205" t="s">
        <v>388</v>
      </c>
      <c r="K205" t="str">
        <f ca="1">TRIM(Table1_2[[#This Row],[Sub-Category]])</f>
        <v>Chairs</v>
      </c>
      <c r="L205" s="5">
        <v>494</v>
      </c>
      <c r="M205">
        <v>6</v>
      </c>
      <c r="N205" s="17">
        <v>0.49</v>
      </c>
      <c r="O205" s="5">
        <v>197.77</v>
      </c>
      <c r="P205" s="8">
        <f>IF(Table1_2[[#This Row],[Sales]]=0, 0,Table1_2[[#This Row],[Profit]]/Table1_2[[#This Row],[Sales]])</f>
        <v>0.40034412955465587</v>
      </c>
      <c r="Q205" s="7">
        <f>Table1_2[[#This Row],[Sales]]/Table1_2[[#This Row],[Quantity]]</f>
        <v>82.333333333333329</v>
      </c>
      <c r="R205" t="str">
        <f>IF(Table1_2[[#This Row],[Profit]]&gt;0, "YES", "NO")</f>
        <v>YES</v>
      </c>
      <c r="S205" t="str">
        <f>TEXT(Table1_2[[#This Row],[Order Date]], "MMM")</f>
        <v>Oct</v>
      </c>
      <c r="T205" t="str">
        <f>TEXT(Table1_2[[#This Row],[Ship Date]],"YYYY")</f>
        <v>2021</v>
      </c>
      <c r="U205" s="1">
        <f>MONTH(1&amp;Table1_2[[#This Row],[Month]])</f>
        <v>10</v>
      </c>
    </row>
    <row r="206" spans="1:21" x14ac:dyDescent="0.3">
      <c r="A206" t="s">
        <v>219</v>
      </c>
      <c r="B206" s="2">
        <v>44481</v>
      </c>
      <c r="C206" s="2">
        <v>44525</v>
      </c>
      <c r="D206" t="s">
        <v>350</v>
      </c>
      <c r="E206" t="s">
        <v>360</v>
      </c>
      <c r="F206" t="s">
        <v>363</v>
      </c>
      <c r="G206" s="1" t="s">
        <v>371</v>
      </c>
      <c r="H206" s="1" t="s">
        <v>379</v>
      </c>
      <c r="I206" s="1" t="s">
        <v>372</v>
      </c>
      <c r="J206" t="s">
        <v>386</v>
      </c>
      <c r="K206" t="str">
        <f ca="1">TRIM(Table1_2[[#This Row],[Sub-Category]])</f>
        <v>Phones</v>
      </c>
      <c r="L206" s="5">
        <v>728.2</v>
      </c>
      <c r="M206">
        <v>7</v>
      </c>
      <c r="N206" s="17">
        <v>0.4</v>
      </c>
      <c r="O206" s="5">
        <v>602</v>
      </c>
      <c r="P206" s="8">
        <f>IF(Table1_2[[#This Row],[Sales]]=0, 0,Table1_2[[#This Row],[Profit]]/Table1_2[[#This Row],[Sales]])</f>
        <v>0.82669596264762424</v>
      </c>
      <c r="Q206" s="7">
        <f>Table1_2[[#This Row],[Sales]]/Table1_2[[#This Row],[Quantity]]</f>
        <v>104.02857142857144</v>
      </c>
      <c r="R206" t="str">
        <f>IF(Table1_2[[#This Row],[Profit]]&gt;0, "YES", "NO")</f>
        <v>YES</v>
      </c>
      <c r="S206" t="str">
        <f>TEXT(Table1_2[[#This Row],[Order Date]], "MMM")</f>
        <v>Oct</v>
      </c>
      <c r="T206" t="str">
        <f>TEXT(Table1_2[[#This Row],[Ship Date]],"YYYY")</f>
        <v>2021</v>
      </c>
      <c r="U206" s="1">
        <f>MONTH(1&amp;Table1_2[[#This Row],[Month]])</f>
        <v>10</v>
      </c>
    </row>
    <row r="207" spans="1:21" x14ac:dyDescent="0.3">
      <c r="A207" t="s">
        <v>220</v>
      </c>
      <c r="B207" s="2">
        <v>44860</v>
      </c>
      <c r="C207" s="2">
        <v>44950</v>
      </c>
      <c r="D207" t="s">
        <v>350</v>
      </c>
      <c r="E207" t="s">
        <v>358</v>
      </c>
      <c r="F207" t="s">
        <v>362</v>
      </c>
      <c r="G207" s="1" t="s">
        <v>365</v>
      </c>
      <c r="H207" s="1" t="s">
        <v>376</v>
      </c>
      <c r="I207" s="1" t="s">
        <v>382</v>
      </c>
      <c r="J207" t="s">
        <v>387</v>
      </c>
      <c r="K207" t="str">
        <f ca="1">TRIM(Table1_2[[#This Row],[Sub-Category]])</f>
        <v>Binders</v>
      </c>
      <c r="L207" s="5">
        <v>1432</v>
      </c>
      <c r="M207">
        <v>7</v>
      </c>
      <c r="N207" s="17">
        <v>0.12</v>
      </c>
      <c r="O207" s="5">
        <v>737.31</v>
      </c>
      <c r="P207" s="8">
        <f>IF(Table1_2[[#This Row],[Sales]]=0, 0,Table1_2[[#This Row],[Profit]]/Table1_2[[#This Row],[Sales]])</f>
        <v>0.51488128491620111</v>
      </c>
      <c r="Q207" s="7">
        <f>Table1_2[[#This Row],[Sales]]/Table1_2[[#This Row],[Quantity]]</f>
        <v>204.57142857142858</v>
      </c>
      <c r="R207" t="str">
        <f>IF(Table1_2[[#This Row],[Profit]]&gt;0, "YES", "NO")</f>
        <v>YES</v>
      </c>
      <c r="S207" t="str">
        <f>TEXT(Table1_2[[#This Row],[Order Date]], "MMM")</f>
        <v>Oct</v>
      </c>
      <c r="T207" t="str">
        <f>TEXT(Table1_2[[#This Row],[Ship Date]],"YYYY")</f>
        <v>2023</v>
      </c>
      <c r="U207" s="1">
        <f>MONTH(1&amp;Table1_2[[#This Row],[Month]])</f>
        <v>10</v>
      </c>
    </row>
    <row r="208" spans="1:21" x14ac:dyDescent="0.3">
      <c r="A208" t="s">
        <v>221</v>
      </c>
      <c r="B208" s="2">
        <v>45173</v>
      </c>
      <c r="C208" s="2">
        <v>44399</v>
      </c>
      <c r="D208" t="s">
        <v>352</v>
      </c>
      <c r="E208" t="s">
        <v>357</v>
      </c>
      <c r="F208" t="s">
        <v>362</v>
      </c>
      <c r="G208" s="1" t="s">
        <v>369</v>
      </c>
      <c r="H208" s="1" t="s">
        <v>415</v>
      </c>
      <c r="I208" s="1" t="s">
        <v>384</v>
      </c>
      <c r="J208" t="s">
        <v>386</v>
      </c>
      <c r="K208" t="str">
        <f ca="1">TRIM(Table1_2[[#This Row],[Sub-Category]])</f>
        <v>Phones</v>
      </c>
      <c r="L208" s="5">
        <v>326</v>
      </c>
      <c r="M208">
        <v>2</v>
      </c>
      <c r="N208" s="17">
        <v>0.44</v>
      </c>
      <c r="O208" s="5">
        <v>757.04</v>
      </c>
      <c r="P208" s="8">
        <f>IF(Table1_2[[#This Row],[Sales]]=0, 0,Table1_2[[#This Row],[Profit]]/Table1_2[[#This Row],[Sales]])</f>
        <v>2.322208588957055</v>
      </c>
      <c r="Q208" s="7">
        <f>Table1_2[[#This Row],[Sales]]/Table1_2[[#This Row],[Quantity]]</f>
        <v>163</v>
      </c>
      <c r="R208" t="str">
        <f>IF(Table1_2[[#This Row],[Profit]]&gt;0, "YES", "NO")</f>
        <v>YES</v>
      </c>
      <c r="S208" t="str">
        <f>TEXT(Table1_2[[#This Row],[Order Date]], "MMM")</f>
        <v>Sep</v>
      </c>
      <c r="T208" t="str">
        <f>TEXT(Table1_2[[#This Row],[Ship Date]],"YYYY")</f>
        <v>2021</v>
      </c>
      <c r="U208" s="1">
        <f>MONTH(1&amp;Table1_2[[#This Row],[Month]])</f>
        <v>9</v>
      </c>
    </row>
    <row r="209" spans="1:21" x14ac:dyDescent="0.3">
      <c r="A209" t="s">
        <v>222</v>
      </c>
      <c r="B209" s="2">
        <v>45033</v>
      </c>
      <c r="C209" s="2">
        <v>44702</v>
      </c>
      <c r="D209" t="s">
        <v>350</v>
      </c>
      <c r="E209" t="s">
        <v>356</v>
      </c>
      <c r="F209" t="s">
        <v>362</v>
      </c>
      <c r="G209" s="1" t="s">
        <v>369</v>
      </c>
      <c r="H209" s="1" t="s">
        <v>377</v>
      </c>
      <c r="I209" s="1" t="s">
        <v>382</v>
      </c>
      <c r="J209" t="s">
        <v>388</v>
      </c>
      <c r="K209" t="str">
        <f ca="1">TRIM(Table1_2[[#This Row],[Sub-Category]])</f>
        <v>Accessories</v>
      </c>
      <c r="L209" s="5">
        <v>327</v>
      </c>
      <c r="M209">
        <v>5</v>
      </c>
      <c r="N209" s="17">
        <v>0.43</v>
      </c>
      <c r="O209" s="5">
        <v>226</v>
      </c>
      <c r="P209" s="8">
        <f>IF(Table1_2[[#This Row],[Sales]]=0, 0,Table1_2[[#This Row],[Profit]]/Table1_2[[#This Row],[Sales]])</f>
        <v>0.69113149847094801</v>
      </c>
      <c r="Q209" s="7">
        <f>Table1_2[[#This Row],[Sales]]/Table1_2[[#This Row],[Quantity]]</f>
        <v>65.400000000000006</v>
      </c>
      <c r="R209" t="str">
        <f>IF(Table1_2[[#This Row],[Profit]]&gt;0, "YES", "NO")</f>
        <v>YES</v>
      </c>
      <c r="S209" t="str">
        <f>TEXT(Table1_2[[#This Row],[Order Date]], "MMM")</f>
        <v>Apr</v>
      </c>
      <c r="T209" t="str">
        <f>TEXT(Table1_2[[#This Row],[Ship Date]],"YYYY")</f>
        <v>2022</v>
      </c>
      <c r="U209" s="1">
        <f>MONTH(1&amp;Table1_2[[#This Row],[Month]])</f>
        <v>4</v>
      </c>
    </row>
    <row r="210" spans="1:21" x14ac:dyDescent="0.3">
      <c r="A210" t="s">
        <v>223</v>
      </c>
      <c r="B210" s="2">
        <v>44386</v>
      </c>
      <c r="C210" s="2">
        <v>44736</v>
      </c>
      <c r="D210" t="s">
        <v>349</v>
      </c>
      <c r="E210" t="s">
        <v>359</v>
      </c>
      <c r="F210" t="s">
        <v>363</v>
      </c>
      <c r="G210" s="1" t="s">
        <v>366</v>
      </c>
      <c r="H210" s="1" t="s">
        <v>374</v>
      </c>
      <c r="I210" s="1" t="s">
        <v>385</v>
      </c>
      <c r="J210" t="s">
        <v>387</v>
      </c>
      <c r="K210" t="str">
        <f ca="1">TRIM(Table1_2[[#This Row],[Sub-Category]])</f>
        <v>NA</v>
      </c>
      <c r="L210" s="5">
        <v>978</v>
      </c>
      <c r="M210">
        <v>8</v>
      </c>
      <c r="N210" s="17">
        <v>0.16</v>
      </c>
      <c r="O210" s="5">
        <v>64.33</v>
      </c>
      <c r="P210" s="8">
        <f>IF(Table1_2[[#This Row],[Sales]]=0, 0,Table1_2[[#This Row],[Profit]]/Table1_2[[#This Row],[Sales]])</f>
        <v>6.5777096114519429E-2</v>
      </c>
      <c r="Q210" s="7">
        <f>Table1_2[[#This Row],[Sales]]/Table1_2[[#This Row],[Quantity]]</f>
        <v>122.25</v>
      </c>
      <c r="R210" t="str">
        <f>IF(Table1_2[[#This Row],[Profit]]&gt;0, "YES", "NO")</f>
        <v>YES</v>
      </c>
      <c r="S210" t="str">
        <f>TEXT(Table1_2[[#This Row],[Order Date]], "MMM")</f>
        <v>Jul</v>
      </c>
      <c r="T210" t="str">
        <f>TEXT(Table1_2[[#This Row],[Ship Date]],"YYYY")</f>
        <v>2022</v>
      </c>
      <c r="U210" s="1">
        <f>MONTH(1&amp;Table1_2[[#This Row],[Month]])</f>
        <v>7</v>
      </c>
    </row>
    <row r="211" spans="1:21" x14ac:dyDescent="0.3">
      <c r="A211" t="s">
        <v>224</v>
      </c>
      <c r="B211" s="2">
        <v>44215</v>
      </c>
      <c r="C211" s="2">
        <v>44948</v>
      </c>
      <c r="D211" t="s">
        <v>352</v>
      </c>
      <c r="E211" t="s">
        <v>358</v>
      </c>
      <c r="F211" t="s">
        <v>364</v>
      </c>
      <c r="G211" s="1" t="s">
        <v>365</v>
      </c>
      <c r="H211" s="1" t="s">
        <v>380</v>
      </c>
      <c r="I211" s="1" t="s">
        <v>383</v>
      </c>
      <c r="J211" t="s">
        <v>388</v>
      </c>
      <c r="K211" t="str">
        <f ca="1">TRIM(Table1_2[[#This Row],[Sub-Category]])</f>
        <v>Tables</v>
      </c>
      <c r="L211" s="5">
        <v>494.96</v>
      </c>
      <c r="M211">
        <v>3</v>
      </c>
      <c r="N211" s="17">
        <v>0.37</v>
      </c>
      <c r="O211" s="5">
        <v>409</v>
      </c>
      <c r="P211" s="8">
        <f>IF(Table1_2[[#This Row],[Sales]]=0, 0,Table1_2[[#This Row],[Profit]]/Table1_2[[#This Row],[Sales]])</f>
        <v>0.82632940035558433</v>
      </c>
      <c r="Q211" s="7">
        <f>Table1_2[[#This Row],[Sales]]/Table1_2[[#This Row],[Quantity]]</f>
        <v>164.98666666666665</v>
      </c>
      <c r="R211" t="str">
        <f>IF(Table1_2[[#This Row],[Profit]]&gt;0, "YES", "NO")</f>
        <v>YES</v>
      </c>
      <c r="S211" t="str">
        <f>TEXT(Table1_2[[#This Row],[Order Date]], "MMM")</f>
        <v>Jan</v>
      </c>
      <c r="T211" t="str">
        <f>TEXT(Table1_2[[#This Row],[Ship Date]],"YYYY")</f>
        <v>2023</v>
      </c>
      <c r="U211" s="1">
        <f>MONTH(1&amp;Table1_2[[#This Row],[Month]])</f>
        <v>1</v>
      </c>
    </row>
    <row r="212" spans="1:21" x14ac:dyDescent="0.3">
      <c r="A212" t="s">
        <v>225</v>
      </c>
      <c r="B212" s="2">
        <v>44248</v>
      </c>
      <c r="C212" s="2">
        <v>44912</v>
      </c>
      <c r="D212" t="s">
        <v>350</v>
      </c>
      <c r="E212" t="s">
        <v>355</v>
      </c>
      <c r="F212" t="s">
        <v>362</v>
      </c>
      <c r="G212" s="1" t="s">
        <v>373</v>
      </c>
      <c r="H212" s="1" t="s">
        <v>378</v>
      </c>
      <c r="I212" s="1" t="s">
        <v>384</v>
      </c>
      <c r="J212" t="s">
        <v>387</v>
      </c>
      <c r="K212" t="str">
        <f ca="1">TRIM(Table1_2[[#This Row],[Sub-Category]])</f>
        <v>Tables</v>
      </c>
      <c r="L212" s="5">
        <v>479</v>
      </c>
      <c r="M212">
        <v>9</v>
      </c>
      <c r="N212" s="17">
        <v>0.37</v>
      </c>
      <c r="O212" s="5">
        <v>428.19</v>
      </c>
      <c r="P212" s="8">
        <f>IF(Table1_2[[#This Row],[Sales]]=0, 0,Table1_2[[#This Row],[Profit]]/Table1_2[[#This Row],[Sales]])</f>
        <v>0.89392484342379963</v>
      </c>
      <c r="Q212" s="7">
        <f>Table1_2[[#This Row],[Sales]]/Table1_2[[#This Row],[Quantity]]</f>
        <v>53.222222222222221</v>
      </c>
      <c r="R212" t="str">
        <f>IF(Table1_2[[#This Row],[Profit]]&gt;0, "YES", "NO")</f>
        <v>YES</v>
      </c>
      <c r="S212" t="str">
        <f>TEXT(Table1_2[[#This Row],[Order Date]], "MMM")</f>
        <v>Feb</v>
      </c>
      <c r="T212" t="str">
        <f>TEXT(Table1_2[[#This Row],[Ship Date]],"YYYY")</f>
        <v>2022</v>
      </c>
      <c r="U212" s="1">
        <f>MONTH(1&amp;Table1_2[[#This Row],[Month]])</f>
        <v>2</v>
      </c>
    </row>
    <row r="213" spans="1:21" x14ac:dyDescent="0.3">
      <c r="A213" t="s">
        <v>226</v>
      </c>
      <c r="B213" s="2">
        <v>44792</v>
      </c>
      <c r="C213" s="2">
        <v>44662</v>
      </c>
      <c r="D213" t="s">
        <v>349</v>
      </c>
      <c r="E213" t="s">
        <v>358</v>
      </c>
      <c r="F213" t="s">
        <v>362</v>
      </c>
      <c r="G213" s="1" t="s">
        <v>371</v>
      </c>
      <c r="H213" s="1" t="s">
        <v>375</v>
      </c>
      <c r="I213" s="1" t="s">
        <v>381</v>
      </c>
      <c r="J213" t="s">
        <v>386</v>
      </c>
      <c r="K213" t="str">
        <f ca="1">TRIM(Table1_2[[#This Row],[Sub-Category]])</f>
        <v>Chairs</v>
      </c>
      <c r="L213" s="5">
        <v>28</v>
      </c>
      <c r="M213">
        <v>1</v>
      </c>
      <c r="N213" s="17">
        <v>0.5</v>
      </c>
      <c r="O213" s="5">
        <v>422.34</v>
      </c>
      <c r="P213" s="8">
        <f>IF(Table1_2[[#This Row],[Sales]]=0, 0,Table1_2[[#This Row],[Profit]]/Table1_2[[#This Row],[Sales]])</f>
        <v>15.083571428571428</v>
      </c>
      <c r="Q213" s="7">
        <f>Table1_2[[#This Row],[Sales]]/Table1_2[[#This Row],[Quantity]]</f>
        <v>28</v>
      </c>
      <c r="R213" t="str">
        <f>IF(Table1_2[[#This Row],[Profit]]&gt;0, "YES", "NO")</f>
        <v>YES</v>
      </c>
      <c r="S213" t="str">
        <f>TEXT(Table1_2[[#This Row],[Order Date]], "MMM")</f>
        <v>Aug</v>
      </c>
      <c r="T213" t="str">
        <f>TEXT(Table1_2[[#This Row],[Ship Date]],"YYYY")</f>
        <v>2022</v>
      </c>
      <c r="U213" s="1">
        <f>MONTH(1&amp;Table1_2[[#This Row],[Month]])</f>
        <v>8</v>
      </c>
    </row>
    <row r="214" spans="1:21" x14ac:dyDescent="0.3">
      <c r="A214" t="s">
        <v>227</v>
      </c>
      <c r="B214" s="2">
        <v>44353</v>
      </c>
      <c r="C214" s="2">
        <v>44507</v>
      </c>
      <c r="D214" t="s">
        <v>350</v>
      </c>
      <c r="E214" t="s">
        <v>360</v>
      </c>
      <c r="F214" t="s">
        <v>361</v>
      </c>
      <c r="G214" s="1" t="s">
        <v>370</v>
      </c>
      <c r="H214" s="1" t="s">
        <v>380</v>
      </c>
      <c r="I214" s="1" t="s">
        <v>381</v>
      </c>
      <c r="J214" t="s">
        <v>387</v>
      </c>
      <c r="K214" t="str">
        <f ca="1">TRIM(Table1_2[[#This Row],[Sub-Category]])</f>
        <v>Chairs</v>
      </c>
      <c r="L214" s="5">
        <v>747.19</v>
      </c>
      <c r="M214">
        <v>3</v>
      </c>
      <c r="N214" s="17">
        <v>0.08</v>
      </c>
      <c r="O214" s="5">
        <v>122</v>
      </c>
      <c r="P214" s="8">
        <f>IF(Table1_2[[#This Row],[Sales]]=0, 0,Table1_2[[#This Row],[Profit]]/Table1_2[[#This Row],[Sales]])</f>
        <v>0.16327841646702979</v>
      </c>
      <c r="Q214" s="7">
        <f>Table1_2[[#This Row],[Sales]]/Table1_2[[#This Row],[Quantity]]</f>
        <v>249.06333333333336</v>
      </c>
      <c r="R214" t="str">
        <f>IF(Table1_2[[#This Row],[Profit]]&gt;0, "YES", "NO")</f>
        <v>YES</v>
      </c>
      <c r="S214" t="str">
        <f>TEXT(Table1_2[[#This Row],[Order Date]], "MMM")</f>
        <v>Jun</v>
      </c>
      <c r="T214" t="str">
        <f>TEXT(Table1_2[[#This Row],[Ship Date]],"YYYY")</f>
        <v>2021</v>
      </c>
      <c r="U214" s="1">
        <f>MONTH(1&amp;Table1_2[[#This Row],[Month]])</f>
        <v>6</v>
      </c>
    </row>
    <row r="215" spans="1:21" x14ac:dyDescent="0.3">
      <c r="A215" t="s">
        <v>228</v>
      </c>
      <c r="B215" s="2">
        <v>44428</v>
      </c>
      <c r="C215" s="2">
        <v>44565</v>
      </c>
      <c r="D215" t="s">
        <v>349</v>
      </c>
      <c r="E215" t="s">
        <v>354</v>
      </c>
      <c r="F215" t="s">
        <v>362</v>
      </c>
      <c r="G215" s="1" t="s">
        <v>415</v>
      </c>
      <c r="H215" s="1" t="s">
        <v>415</v>
      </c>
      <c r="I215" s="1" t="s">
        <v>385</v>
      </c>
      <c r="J215" t="s">
        <v>388</v>
      </c>
      <c r="K215" t="str">
        <f ca="1">TRIM(Table1_2[[#This Row],[Sub-Category]])</f>
        <v>Phones</v>
      </c>
      <c r="L215" s="5">
        <v>643.32000000000005</v>
      </c>
      <c r="M215">
        <v>4</v>
      </c>
      <c r="N215" s="17">
        <v>0.12</v>
      </c>
      <c r="O215" s="5">
        <v>-136.25</v>
      </c>
      <c r="P215" s="8">
        <f>IF(Table1_2[[#This Row],[Sales]]=0, 0,Table1_2[[#This Row],[Profit]]/Table1_2[[#This Row],[Sales]])</f>
        <v>-0.2117919542373935</v>
      </c>
      <c r="Q215" s="7">
        <f>Table1_2[[#This Row],[Sales]]/Table1_2[[#This Row],[Quantity]]</f>
        <v>160.83000000000001</v>
      </c>
      <c r="R215" t="str">
        <f>IF(Table1_2[[#This Row],[Profit]]&gt;0, "YES", "NO")</f>
        <v>NO</v>
      </c>
      <c r="S215" t="str">
        <f>TEXT(Table1_2[[#This Row],[Order Date]], "MMM")</f>
        <v>Aug</v>
      </c>
      <c r="T215" t="str">
        <f>TEXT(Table1_2[[#This Row],[Ship Date]],"YYYY")</f>
        <v>2022</v>
      </c>
      <c r="U215" s="1">
        <f>MONTH(1&amp;Table1_2[[#This Row],[Month]])</f>
        <v>8</v>
      </c>
    </row>
    <row r="216" spans="1:21" x14ac:dyDescent="0.3">
      <c r="A216" t="s">
        <v>229</v>
      </c>
      <c r="B216" s="2">
        <v>45044</v>
      </c>
      <c r="C216" s="2">
        <v>44609</v>
      </c>
      <c r="D216" t="s">
        <v>350</v>
      </c>
      <c r="E216" t="s">
        <v>354</v>
      </c>
      <c r="F216" t="s">
        <v>364</v>
      </c>
      <c r="G216" s="1" t="s">
        <v>369</v>
      </c>
      <c r="H216" s="1" t="s">
        <v>415</v>
      </c>
      <c r="I216" s="1" t="s">
        <v>382</v>
      </c>
      <c r="J216" t="s">
        <v>372</v>
      </c>
      <c r="K216" t="str">
        <f ca="1">TRIM(Table1_2[[#This Row],[Sub-Category]])</f>
        <v>Binders</v>
      </c>
      <c r="L216" s="5">
        <v>72</v>
      </c>
      <c r="M216">
        <v>6</v>
      </c>
      <c r="N216" s="17">
        <v>0.28999999999999998</v>
      </c>
      <c r="O216" s="5">
        <v>10</v>
      </c>
      <c r="P216" s="8">
        <f>IF(Table1_2[[#This Row],[Sales]]=0, 0,Table1_2[[#This Row],[Profit]]/Table1_2[[#This Row],[Sales]])</f>
        <v>0.1388888888888889</v>
      </c>
      <c r="Q216" s="7">
        <f>Table1_2[[#This Row],[Sales]]/Table1_2[[#This Row],[Quantity]]</f>
        <v>12</v>
      </c>
      <c r="R216" t="str">
        <f>IF(Table1_2[[#This Row],[Profit]]&gt;0, "YES", "NO")</f>
        <v>YES</v>
      </c>
      <c r="S216" t="str">
        <f>TEXT(Table1_2[[#This Row],[Order Date]], "MMM")</f>
        <v>Apr</v>
      </c>
      <c r="T216" t="str">
        <f>TEXT(Table1_2[[#This Row],[Ship Date]],"YYYY")</f>
        <v>2022</v>
      </c>
      <c r="U216" s="1">
        <f>MONTH(1&amp;Table1_2[[#This Row],[Month]])</f>
        <v>4</v>
      </c>
    </row>
    <row r="217" spans="1:21" x14ac:dyDescent="0.3">
      <c r="A217" t="s">
        <v>230</v>
      </c>
      <c r="B217" s="2">
        <v>45070</v>
      </c>
      <c r="C217" s="2">
        <v>44417</v>
      </c>
      <c r="D217" t="s">
        <v>351</v>
      </c>
      <c r="E217" t="s">
        <v>356</v>
      </c>
      <c r="F217" t="s">
        <v>363</v>
      </c>
      <c r="G217" s="1" t="s">
        <v>367</v>
      </c>
      <c r="H217" s="1" t="s">
        <v>374</v>
      </c>
      <c r="I217" s="1" t="s">
        <v>382</v>
      </c>
      <c r="J217" t="s">
        <v>388</v>
      </c>
      <c r="K217" t="str">
        <f ca="1">TRIM(Table1_2[[#This Row],[Sub-Category]])</f>
        <v>Chairs</v>
      </c>
      <c r="L217" s="5">
        <v>1246</v>
      </c>
      <c r="M217">
        <v>2</v>
      </c>
      <c r="N217" s="17">
        <v>0.03</v>
      </c>
      <c r="O217" s="5">
        <v>-46</v>
      </c>
      <c r="P217" s="8">
        <f>IF(Table1_2[[#This Row],[Sales]]=0, 0,Table1_2[[#This Row],[Profit]]/Table1_2[[#This Row],[Sales]])</f>
        <v>-3.691813804173355E-2</v>
      </c>
      <c r="Q217" s="7">
        <f>Table1_2[[#This Row],[Sales]]/Table1_2[[#This Row],[Quantity]]</f>
        <v>623</v>
      </c>
      <c r="R217" t="str">
        <f>IF(Table1_2[[#This Row],[Profit]]&gt;0, "YES", "NO")</f>
        <v>NO</v>
      </c>
      <c r="S217" t="str">
        <f>TEXT(Table1_2[[#This Row],[Order Date]], "MMM")</f>
        <v>May</v>
      </c>
      <c r="T217" t="str">
        <f>TEXT(Table1_2[[#This Row],[Ship Date]],"YYYY")</f>
        <v>2021</v>
      </c>
      <c r="U217" s="1">
        <f>MONTH(1&amp;Table1_2[[#This Row],[Month]])</f>
        <v>5</v>
      </c>
    </row>
    <row r="218" spans="1:21" x14ac:dyDescent="0.3">
      <c r="A218" t="s">
        <v>231</v>
      </c>
      <c r="B218" s="2">
        <v>45036</v>
      </c>
      <c r="C218" s="2">
        <v>44823</v>
      </c>
      <c r="D218" t="s">
        <v>349</v>
      </c>
      <c r="E218" t="s">
        <v>356</v>
      </c>
      <c r="F218" t="s">
        <v>361</v>
      </c>
      <c r="G218" s="1" t="s">
        <v>415</v>
      </c>
      <c r="H218" s="1" t="s">
        <v>379</v>
      </c>
      <c r="I218" s="1" t="s">
        <v>382</v>
      </c>
      <c r="J218" t="s">
        <v>386</v>
      </c>
      <c r="K218" t="str">
        <f ca="1">TRIM(Table1_2[[#This Row],[Sub-Category]])</f>
        <v>Accessories</v>
      </c>
      <c r="L218" s="5">
        <v>1257.04</v>
      </c>
      <c r="M218">
        <v>3</v>
      </c>
      <c r="N218" s="17">
        <v>0.25</v>
      </c>
      <c r="O218" s="5">
        <v>-76.099999999999994</v>
      </c>
      <c r="P218" s="8">
        <f>IF(Table1_2[[#This Row],[Sales]]=0, 0,Table1_2[[#This Row],[Profit]]/Table1_2[[#This Row],[Sales]])</f>
        <v>-6.0539044103608476E-2</v>
      </c>
      <c r="Q218" s="7">
        <f>Table1_2[[#This Row],[Sales]]/Table1_2[[#This Row],[Quantity]]</f>
        <v>419.01333333333332</v>
      </c>
      <c r="R218" t="str">
        <f>IF(Table1_2[[#This Row],[Profit]]&gt;0, "YES", "NO")</f>
        <v>NO</v>
      </c>
      <c r="S218" t="str">
        <f>TEXT(Table1_2[[#This Row],[Order Date]], "MMM")</f>
        <v>Apr</v>
      </c>
      <c r="T218" t="str">
        <f>TEXT(Table1_2[[#This Row],[Ship Date]],"YYYY")</f>
        <v>2022</v>
      </c>
      <c r="U218" s="1">
        <f>MONTH(1&amp;Table1_2[[#This Row],[Month]])</f>
        <v>4</v>
      </c>
    </row>
    <row r="219" spans="1:21" x14ac:dyDescent="0.3">
      <c r="A219" t="s">
        <v>232</v>
      </c>
      <c r="B219" s="2">
        <v>44450</v>
      </c>
      <c r="C219" s="2">
        <v>44406</v>
      </c>
      <c r="D219" t="s">
        <v>352</v>
      </c>
      <c r="E219" t="s">
        <v>360</v>
      </c>
      <c r="F219" t="s">
        <v>363</v>
      </c>
      <c r="G219" s="1" t="s">
        <v>371</v>
      </c>
      <c r="H219" s="1" t="s">
        <v>375</v>
      </c>
      <c r="I219" s="1" t="s">
        <v>382</v>
      </c>
      <c r="J219" t="s">
        <v>386</v>
      </c>
      <c r="K219" t="str">
        <f ca="1">TRIM(Table1_2[[#This Row],[Sub-Category]])</f>
        <v>Tables</v>
      </c>
      <c r="L219" s="5">
        <v>150.88999999999999</v>
      </c>
      <c r="M219">
        <v>6</v>
      </c>
      <c r="N219" s="17">
        <v>0.47</v>
      </c>
      <c r="O219" s="5">
        <v>726.28</v>
      </c>
      <c r="P219" s="8">
        <f>IF(Table1_2[[#This Row],[Sales]]=0, 0,Table1_2[[#This Row],[Profit]]/Table1_2[[#This Row],[Sales]])</f>
        <v>4.813307707601564</v>
      </c>
      <c r="Q219" s="7">
        <f>Table1_2[[#This Row],[Sales]]/Table1_2[[#This Row],[Quantity]]</f>
        <v>25.14833333333333</v>
      </c>
      <c r="R219" t="str">
        <f>IF(Table1_2[[#This Row],[Profit]]&gt;0, "YES", "NO")</f>
        <v>YES</v>
      </c>
      <c r="S219" t="str">
        <f>TEXT(Table1_2[[#This Row],[Order Date]], "MMM")</f>
        <v>Sep</v>
      </c>
      <c r="T219" t="str">
        <f>TEXT(Table1_2[[#This Row],[Ship Date]],"YYYY")</f>
        <v>2021</v>
      </c>
      <c r="U219" s="1">
        <f>MONTH(1&amp;Table1_2[[#This Row],[Month]])</f>
        <v>9</v>
      </c>
    </row>
    <row r="220" spans="1:21" x14ac:dyDescent="0.3">
      <c r="A220" t="s">
        <v>233</v>
      </c>
      <c r="B220" s="2">
        <v>44904</v>
      </c>
      <c r="C220" s="2">
        <v>44846</v>
      </c>
      <c r="D220" t="s">
        <v>352</v>
      </c>
      <c r="E220" t="s">
        <v>357</v>
      </c>
      <c r="F220" t="s">
        <v>361</v>
      </c>
      <c r="G220" s="1" t="s">
        <v>373</v>
      </c>
      <c r="H220" s="1" t="s">
        <v>380</v>
      </c>
      <c r="I220" s="1" t="s">
        <v>385</v>
      </c>
      <c r="J220" t="s">
        <v>387</v>
      </c>
      <c r="K220" t="str">
        <f ca="1">TRIM(Table1_2[[#This Row],[Sub-Category]])</f>
        <v>Chairs</v>
      </c>
      <c r="L220" s="5">
        <v>640.91</v>
      </c>
      <c r="M220">
        <v>3</v>
      </c>
      <c r="N220" s="17">
        <v>0.09</v>
      </c>
      <c r="O220" s="5">
        <v>-186.15</v>
      </c>
      <c r="P220" s="8">
        <f>IF(Table1_2[[#This Row],[Sales]]=0, 0,Table1_2[[#This Row],[Profit]]/Table1_2[[#This Row],[Sales]])</f>
        <v>-0.29044639652993404</v>
      </c>
      <c r="Q220" s="7">
        <f>Table1_2[[#This Row],[Sales]]/Table1_2[[#This Row],[Quantity]]</f>
        <v>213.63666666666666</v>
      </c>
      <c r="R220" t="str">
        <f>IF(Table1_2[[#This Row],[Profit]]&gt;0, "YES", "NO")</f>
        <v>NO</v>
      </c>
      <c r="S220" t="str">
        <f>TEXT(Table1_2[[#This Row],[Order Date]], "MMM")</f>
        <v>Dec</v>
      </c>
      <c r="T220" t="str">
        <f>TEXT(Table1_2[[#This Row],[Ship Date]],"YYYY")</f>
        <v>2022</v>
      </c>
      <c r="U220" s="1">
        <f>MONTH(1&amp;Table1_2[[#This Row],[Month]])</f>
        <v>12</v>
      </c>
    </row>
    <row r="221" spans="1:21" x14ac:dyDescent="0.3">
      <c r="A221" t="s">
        <v>234</v>
      </c>
      <c r="B221" s="2">
        <v>44807</v>
      </c>
      <c r="C221" s="2">
        <v>44949</v>
      </c>
      <c r="D221" t="s">
        <v>352</v>
      </c>
      <c r="E221" t="s">
        <v>358</v>
      </c>
      <c r="F221" t="s">
        <v>363</v>
      </c>
      <c r="G221" s="1" t="s">
        <v>373</v>
      </c>
      <c r="H221" s="1" t="s">
        <v>374</v>
      </c>
      <c r="I221" s="1" t="s">
        <v>383</v>
      </c>
      <c r="J221" t="s">
        <v>388</v>
      </c>
      <c r="K221" t="str">
        <f ca="1">TRIM(Table1_2[[#This Row],[Sub-Category]])</f>
        <v>Chairs</v>
      </c>
      <c r="L221" s="5">
        <v>1746.88</v>
      </c>
      <c r="M221">
        <v>8</v>
      </c>
      <c r="N221" s="17">
        <v>0.28000000000000003</v>
      </c>
      <c r="O221" s="5">
        <v>401.86</v>
      </c>
      <c r="P221" s="8">
        <f>IF(Table1_2[[#This Row],[Sales]]=0, 0,Table1_2[[#This Row],[Profit]]/Table1_2[[#This Row],[Sales]])</f>
        <v>0.23004442205532147</v>
      </c>
      <c r="Q221" s="7">
        <f>Table1_2[[#This Row],[Sales]]/Table1_2[[#This Row],[Quantity]]</f>
        <v>218.36</v>
      </c>
      <c r="R221" t="str">
        <f>IF(Table1_2[[#This Row],[Profit]]&gt;0, "YES", "NO")</f>
        <v>YES</v>
      </c>
      <c r="S221" t="str">
        <f>TEXT(Table1_2[[#This Row],[Order Date]], "MMM")</f>
        <v>Sep</v>
      </c>
      <c r="T221" t="str">
        <f>TEXT(Table1_2[[#This Row],[Ship Date]],"YYYY")</f>
        <v>2023</v>
      </c>
      <c r="U221" s="1">
        <f>MONTH(1&amp;Table1_2[[#This Row],[Month]])</f>
        <v>9</v>
      </c>
    </row>
    <row r="222" spans="1:21" x14ac:dyDescent="0.3">
      <c r="A222" t="s">
        <v>235</v>
      </c>
      <c r="B222" s="2">
        <v>44382</v>
      </c>
      <c r="C222" s="2">
        <v>45159</v>
      </c>
      <c r="D222" t="s">
        <v>349</v>
      </c>
      <c r="E222" t="s">
        <v>355</v>
      </c>
      <c r="F222" t="s">
        <v>363</v>
      </c>
      <c r="G222" s="1" t="s">
        <v>368</v>
      </c>
      <c r="H222" s="1" t="s">
        <v>379</v>
      </c>
      <c r="I222" s="1" t="s">
        <v>383</v>
      </c>
      <c r="J222" t="s">
        <v>387</v>
      </c>
      <c r="K222" t="str">
        <f ca="1">TRIM(Table1_2[[#This Row],[Sub-Category]])</f>
        <v>Tables</v>
      </c>
      <c r="L222" s="5">
        <v>1168.51</v>
      </c>
      <c r="M222">
        <v>8</v>
      </c>
      <c r="N222" s="17">
        <v>0.59</v>
      </c>
      <c r="O222" s="5">
        <v>747.47</v>
      </c>
      <c r="P222" s="8">
        <f>IF(Table1_2[[#This Row],[Sales]]=0, 0,Table1_2[[#This Row],[Profit]]/Table1_2[[#This Row],[Sales]])</f>
        <v>0.63967788037757489</v>
      </c>
      <c r="Q222" s="7">
        <f>Table1_2[[#This Row],[Sales]]/Table1_2[[#This Row],[Quantity]]</f>
        <v>146.06375</v>
      </c>
      <c r="R222" t="str">
        <f>IF(Table1_2[[#This Row],[Profit]]&gt;0, "YES", "NO")</f>
        <v>YES</v>
      </c>
      <c r="S222" t="str">
        <f>TEXT(Table1_2[[#This Row],[Order Date]], "MMM")</f>
        <v>Jul</v>
      </c>
      <c r="T222" t="str">
        <f>TEXT(Table1_2[[#This Row],[Ship Date]],"YYYY")</f>
        <v>2023</v>
      </c>
      <c r="U222" s="1">
        <f>MONTH(1&amp;Table1_2[[#This Row],[Month]])</f>
        <v>7</v>
      </c>
    </row>
    <row r="223" spans="1:21" x14ac:dyDescent="0.3">
      <c r="A223" t="s">
        <v>236</v>
      </c>
      <c r="B223" s="2">
        <v>44750</v>
      </c>
      <c r="C223" s="2">
        <v>44316</v>
      </c>
      <c r="D223" t="s">
        <v>351</v>
      </c>
      <c r="E223" t="s">
        <v>357</v>
      </c>
      <c r="F223" t="s">
        <v>364</v>
      </c>
      <c r="G223" s="1" t="s">
        <v>365</v>
      </c>
      <c r="H223" s="1" t="s">
        <v>377</v>
      </c>
      <c r="I223" s="1" t="s">
        <v>381</v>
      </c>
      <c r="J223" t="s">
        <v>388</v>
      </c>
      <c r="K223" t="str">
        <f ca="1">TRIM(Table1_2[[#This Row],[Sub-Category]])</f>
        <v>Chairs</v>
      </c>
      <c r="L223" s="5">
        <v>829.83</v>
      </c>
      <c r="M223">
        <v>3</v>
      </c>
      <c r="N223" s="17">
        <v>0.3</v>
      </c>
      <c r="O223" s="5">
        <v>160.05000000000001</v>
      </c>
      <c r="P223" s="8">
        <f>IF(Table1_2[[#This Row],[Sales]]=0, 0,Table1_2[[#This Row],[Profit]]/Table1_2[[#This Row],[Sales]])</f>
        <v>0.19287082896496874</v>
      </c>
      <c r="Q223" s="7">
        <f>Table1_2[[#This Row],[Sales]]/Table1_2[[#This Row],[Quantity]]</f>
        <v>276.61</v>
      </c>
      <c r="R223" t="str">
        <f>IF(Table1_2[[#This Row],[Profit]]&gt;0, "YES", "NO")</f>
        <v>YES</v>
      </c>
      <c r="S223" t="str">
        <f>TEXT(Table1_2[[#This Row],[Order Date]], "MMM")</f>
        <v>Jul</v>
      </c>
      <c r="T223" t="str">
        <f>TEXT(Table1_2[[#This Row],[Ship Date]],"YYYY")</f>
        <v>2021</v>
      </c>
      <c r="U223" s="1">
        <f>MONTH(1&amp;Table1_2[[#This Row],[Month]])</f>
        <v>7</v>
      </c>
    </row>
    <row r="224" spans="1:21" x14ac:dyDescent="0.3">
      <c r="A224" t="s">
        <v>237</v>
      </c>
      <c r="B224" s="2">
        <v>44722</v>
      </c>
      <c r="C224" s="2">
        <v>44957</v>
      </c>
      <c r="D224" t="s">
        <v>350</v>
      </c>
      <c r="E224" t="s">
        <v>353</v>
      </c>
      <c r="F224" t="s">
        <v>363</v>
      </c>
      <c r="G224" s="1" t="s">
        <v>371</v>
      </c>
      <c r="H224" s="1" t="s">
        <v>375</v>
      </c>
      <c r="I224" s="1" t="s">
        <v>385</v>
      </c>
      <c r="J224" t="s">
        <v>388</v>
      </c>
      <c r="K224" t="str">
        <f ca="1">TRIM(Table1_2[[#This Row],[Sub-Category]])</f>
        <v>Paper</v>
      </c>
      <c r="L224" s="5">
        <v>935.55</v>
      </c>
      <c r="M224">
        <v>6</v>
      </c>
      <c r="N224" s="17">
        <v>0.3</v>
      </c>
      <c r="O224" s="5">
        <v>327.10000000000002</v>
      </c>
      <c r="P224" s="8">
        <f>IF(Table1_2[[#This Row],[Sales]]=0, 0,Table1_2[[#This Row],[Profit]]/Table1_2[[#This Row],[Sales]])</f>
        <v>0.3496339051894608</v>
      </c>
      <c r="Q224" s="7">
        <f>Table1_2[[#This Row],[Sales]]/Table1_2[[#This Row],[Quantity]]</f>
        <v>155.92499999999998</v>
      </c>
      <c r="R224" t="str">
        <f>IF(Table1_2[[#This Row],[Profit]]&gt;0, "YES", "NO")</f>
        <v>YES</v>
      </c>
      <c r="S224" t="str">
        <f>TEXT(Table1_2[[#This Row],[Order Date]], "MMM")</f>
        <v>Jun</v>
      </c>
      <c r="T224" t="str">
        <f>TEXT(Table1_2[[#This Row],[Ship Date]],"YYYY")</f>
        <v>2023</v>
      </c>
      <c r="U224" s="1">
        <f>MONTH(1&amp;Table1_2[[#This Row],[Month]])</f>
        <v>6</v>
      </c>
    </row>
    <row r="225" spans="1:21" x14ac:dyDescent="0.3">
      <c r="A225" t="s">
        <v>238</v>
      </c>
      <c r="B225" s="2">
        <v>44593</v>
      </c>
      <c r="C225" s="2">
        <v>44283</v>
      </c>
      <c r="D225" t="s">
        <v>350</v>
      </c>
      <c r="E225" t="s">
        <v>360</v>
      </c>
      <c r="F225" t="s">
        <v>363</v>
      </c>
      <c r="G225" s="1" t="s">
        <v>368</v>
      </c>
      <c r="H225" s="1" t="s">
        <v>379</v>
      </c>
      <c r="I225" s="1" t="s">
        <v>372</v>
      </c>
      <c r="J225" t="s">
        <v>386</v>
      </c>
      <c r="K225" t="str">
        <f ca="1">TRIM(Table1_2[[#This Row],[Sub-Category]])</f>
        <v>Tables</v>
      </c>
      <c r="L225" s="5">
        <v>424.48</v>
      </c>
      <c r="M225">
        <v>3</v>
      </c>
      <c r="N225" s="17">
        <v>0.34</v>
      </c>
      <c r="O225" s="5">
        <v>495.78</v>
      </c>
      <c r="P225" s="8">
        <f>IF(Table1_2[[#This Row],[Sales]]=0, 0,Table1_2[[#This Row],[Profit]]/Table1_2[[#This Row],[Sales]])</f>
        <v>1.1679702223897472</v>
      </c>
      <c r="Q225" s="7">
        <f>Table1_2[[#This Row],[Sales]]/Table1_2[[#This Row],[Quantity]]</f>
        <v>141.49333333333334</v>
      </c>
      <c r="R225" t="str">
        <f>IF(Table1_2[[#This Row],[Profit]]&gt;0, "YES", "NO")</f>
        <v>YES</v>
      </c>
      <c r="S225" t="str">
        <f>TEXT(Table1_2[[#This Row],[Order Date]], "MMM")</f>
        <v>Feb</v>
      </c>
      <c r="T225" t="str">
        <f>TEXT(Table1_2[[#This Row],[Ship Date]],"YYYY")</f>
        <v>2021</v>
      </c>
      <c r="U225" s="1">
        <f>MONTH(1&amp;Table1_2[[#This Row],[Month]])</f>
        <v>2</v>
      </c>
    </row>
    <row r="226" spans="1:21" x14ac:dyDescent="0.3">
      <c r="A226" t="s">
        <v>239</v>
      </c>
      <c r="B226" s="2">
        <v>44948</v>
      </c>
      <c r="C226" s="2">
        <v>44328</v>
      </c>
      <c r="D226" t="s">
        <v>350</v>
      </c>
      <c r="E226" t="s">
        <v>353</v>
      </c>
      <c r="F226" t="s">
        <v>364</v>
      </c>
      <c r="G226" s="1" t="s">
        <v>367</v>
      </c>
      <c r="H226" s="1" t="s">
        <v>415</v>
      </c>
      <c r="I226" s="1" t="s">
        <v>385</v>
      </c>
      <c r="J226" t="s">
        <v>387</v>
      </c>
      <c r="K226" t="str">
        <f ca="1">TRIM(Table1_2[[#This Row],[Sub-Category]])</f>
        <v>Phones</v>
      </c>
      <c r="L226" s="5">
        <v>1626</v>
      </c>
      <c r="M226">
        <v>4</v>
      </c>
      <c r="N226" s="17">
        <v>0.11</v>
      </c>
      <c r="O226" s="5">
        <v>117.17</v>
      </c>
      <c r="P226" s="8">
        <f>IF(Table1_2[[#This Row],[Sales]]=0, 0,Table1_2[[#This Row],[Profit]]/Table1_2[[#This Row],[Sales]])</f>
        <v>7.2060270602706034E-2</v>
      </c>
      <c r="Q226" s="7">
        <f>Table1_2[[#This Row],[Sales]]/Table1_2[[#This Row],[Quantity]]</f>
        <v>406.5</v>
      </c>
      <c r="R226" t="str">
        <f>IF(Table1_2[[#This Row],[Profit]]&gt;0, "YES", "NO")</f>
        <v>YES</v>
      </c>
      <c r="S226" t="str">
        <f>TEXT(Table1_2[[#This Row],[Order Date]], "MMM")</f>
        <v>Jan</v>
      </c>
      <c r="T226" t="str">
        <f>TEXT(Table1_2[[#This Row],[Ship Date]],"YYYY")</f>
        <v>2021</v>
      </c>
      <c r="U226" s="1">
        <f>MONTH(1&amp;Table1_2[[#This Row],[Month]])</f>
        <v>1</v>
      </c>
    </row>
    <row r="227" spans="1:21" x14ac:dyDescent="0.3">
      <c r="A227" t="s">
        <v>240</v>
      </c>
      <c r="B227" s="2">
        <v>44874</v>
      </c>
      <c r="C227" s="2">
        <v>44374</v>
      </c>
      <c r="D227" t="s">
        <v>350</v>
      </c>
      <c r="E227" t="s">
        <v>358</v>
      </c>
      <c r="F227" t="s">
        <v>364</v>
      </c>
      <c r="G227" s="1" t="s">
        <v>415</v>
      </c>
      <c r="H227" s="1" t="s">
        <v>377</v>
      </c>
      <c r="I227" s="1" t="s">
        <v>384</v>
      </c>
      <c r="J227" t="s">
        <v>387</v>
      </c>
      <c r="K227" t="str">
        <f ca="1">TRIM(Table1_2[[#This Row],[Sub-Category]])</f>
        <v>Binders</v>
      </c>
      <c r="L227" s="5">
        <v>1829</v>
      </c>
      <c r="M227">
        <v>7</v>
      </c>
      <c r="N227" s="17">
        <v>0.09</v>
      </c>
      <c r="O227" s="5">
        <v>277.64999999999998</v>
      </c>
      <c r="P227" s="8">
        <f>IF(Table1_2[[#This Row],[Sales]]=0, 0,Table1_2[[#This Row],[Profit]]/Table1_2[[#This Row],[Sales]])</f>
        <v>0.15180426462547839</v>
      </c>
      <c r="Q227" s="7">
        <f>Table1_2[[#This Row],[Sales]]/Table1_2[[#This Row],[Quantity]]</f>
        <v>261.28571428571428</v>
      </c>
      <c r="R227" t="str">
        <f>IF(Table1_2[[#This Row],[Profit]]&gt;0, "YES", "NO")</f>
        <v>YES</v>
      </c>
      <c r="S227" t="str">
        <f>TEXT(Table1_2[[#This Row],[Order Date]], "MMM")</f>
        <v>Nov</v>
      </c>
      <c r="T227" t="str">
        <f>TEXT(Table1_2[[#This Row],[Ship Date]],"YYYY")</f>
        <v>2021</v>
      </c>
      <c r="U227" s="1">
        <f>MONTH(1&amp;Table1_2[[#This Row],[Month]])</f>
        <v>11</v>
      </c>
    </row>
    <row r="228" spans="1:21" x14ac:dyDescent="0.3">
      <c r="A228" t="s">
        <v>241</v>
      </c>
      <c r="B228" s="2">
        <v>44729</v>
      </c>
      <c r="C228" s="2">
        <v>44360</v>
      </c>
      <c r="D228" t="s">
        <v>351</v>
      </c>
      <c r="E228" t="s">
        <v>357</v>
      </c>
      <c r="F228" t="s">
        <v>362</v>
      </c>
      <c r="G228" s="1" t="s">
        <v>366</v>
      </c>
      <c r="H228" s="1" t="s">
        <v>377</v>
      </c>
      <c r="I228" s="1" t="s">
        <v>372</v>
      </c>
      <c r="J228" t="s">
        <v>388</v>
      </c>
      <c r="K228" t="str">
        <f ca="1">TRIM(Table1_2[[#This Row],[Sub-Category]])</f>
        <v>NA</v>
      </c>
      <c r="L228" s="5">
        <v>1822.22</v>
      </c>
      <c r="M228">
        <v>3</v>
      </c>
      <c r="N228" s="17">
        <v>0.41</v>
      </c>
      <c r="O228" s="5">
        <v>617.1</v>
      </c>
      <c r="P228" s="8">
        <f>IF(Table1_2[[#This Row],[Sales]]=0, 0,Table1_2[[#This Row],[Profit]]/Table1_2[[#This Row],[Sales]])</f>
        <v>0.33865285201567319</v>
      </c>
      <c r="Q228" s="7">
        <f>Table1_2[[#This Row],[Sales]]/Table1_2[[#This Row],[Quantity]]</f>
        <v>607.40666666666664</v>
      </c>
      <c r="R228" t="str">
        <f>IF(Table1_2[[#This Row],[Profit]]&gt;0, "YES", "NO")</f>
        <v>YES</v>
      </c>
      <c r="S228" t="str">
        <f>TEXT(Table1_2[[#This Row],[Order Date]], "MMM")</f>
        <v>Jun</v>
      </c>
      <c r="T228" t="str">
        <f>TEXT(Table1_2[[#This Row],[Ship Date]],"YYYY")</f>
        <v>2021</v>
      </c>
      <c r="U228" s="1">
        <f>MONTH(1&amp;Table1_2[[#This Row],[Month]])</f>
        <v>6</v>
      </c>
    </row>
    <row r="229" spans="1:21" x14ac:dyDescent="0.3">
      <c r="A229" t="s">
        <v>242</v>
      </c>
      <c r="B229" s="2">
        <v>44922</v>
      </c>
      <c r="C229" s="2">
        <v>44373</v>
      </c>
      <c r="D229" t="s">
        <v>351</v>
      </c>
      <c r="E229" t="s">
        <v>354</v>
      </c>
      <c r="F229" t="s">
        <v>362</v>
      </c>
      <c r="G229" s="1" t="s">
        <v>373</v>
      </c>
      <c r="H229" s="1" t="s">
        <v>374</v>
      </c>
      <c r="I229" s="1" t="s">
        <v>381</v>
      </c>
      <c r="J229" t="s">
        <v>387</v>
      </c>
      <c r="K229" t="str">
        <f ca="1">TRIM(Table1_2[[#This Row],[Sub-Category]])</f>
        <v>Phones</v>
      </c>
      <c r="L229" s="5">
        <v>455.63</v>
      </c>
      <c r="M229">
        <v>2</v>
      </c>
      <c r="N229" s="17">
        <v>0.24</v>
      </c>
      <c r="O229" s="5">
        <v>545</v>
      </c>
      <c r="P229" s="8">
        <f>IF(Table1_2[[#This Row],[Sales]]=0, 0,Table1_2[[#This Row],[Profit]]/Table1_2[[#This Row],[Sales]])</f>
        <v>1.1961459956543687</v>
      </c>
      <c r="Q229" s="7">
        <f>Table1_2[[#This Row],[Sales]]/Table1_2[[#This Row],[Quantity]]</f>
        <v>227.815</v>
      </c>
      <c r="R229" t="str">
        <f>IF(Table1_2[[#This Row],[Profit]]&gt;0, "YES", "NO")</f>
        <v>YES</v>
      </c>
      <c r="S229" t="str">
        <f>TEXT(Table1_2[[#This Row],[Order Date]], "MMM")</f>
        <v>Dec</v>
      </c>
      <c r="T229" t="str">
        <f>TEXT(Table1_2[[#This Row],[Ship Date]],"YYYY")</f>
        <v>2021</v>
      </c>
      <c r="U229" s="1">
        <f>MONTH(1&amp;Table1_2[[#This Row],[Month]])</f>
        <v>12</v>
      </c>
    </row>
    <row r="230" spans="1:21" x14ac:dyDescent="0.3">
      <c r="A230" t="s">
        <v>243</v>
      </c>
      <c r="B230" s="2">
        <v>44960</v>
      </c>
      <c r="C230" s="2">
        <v>44241</v>
      </c>
      <c r="D230" t="s">
        <v>349</v>
      </c>
      <c r="E230" t="s">
        <v>353</v>
      </c>
      <c r="F230" t="s">
        <v>363</v>
      </c>
      <c r="G230" s="1" t="s">
        <v>370</v>
      </c>
      <c r="H230" s="1" t="s">
        <v>375</v>
      </c>
      <c r="I230" s="1" t="s">
        <v>372</v>
      </c>
      <c r="J230" t="s">
        <v>386</v>
      </c>
      <c r="K230" t="str">
        <f ca="1">TRIM(Table1_2[[#This Row],[Sub-Category]])</f>
        <v>Paper</v>
      </c>
      <c r="L230" s="5">
        <v>628.37</v>
      </c>
      <c r="M230">
        <v>3</v>
      </c>
      <c r="N230" s="17">
        <v>0.17</v>
      </c>
      <c r="O230" s="5">
        <v>608.45000000000005</v>
      </c>
      <c r="P230" s="8">
        <f>IF(Table1_2[[#This Row],[Sales]]=0, 0,Table1_2[[#This Row],[Profit]]/Table1_2[[#This Row],[Sales]])</f>
        <v>0.96829893215780516</v>
      </c>
      <c r="Q230" s="7">
        <f>Table1_2[[#This Row],[Sales]]/Table1_2[[#This Row],[Quantity]]</f>
        <v>209.45666666666668</v>
      </c>
      <c r="R230" t="str">
        <f>IF(Table1_2[[#This Row],[Profit]]&gt;0, "YES", "NO")</f>
        <v>YES</v>
      </c>
      <c r="S230" t="str">
        <f>TEXT(Table1_2[[#This Row],[Order Date]], "MMM")</f>
        <v>Feb</v>
      </c>
      <c r="T230" t="str">
        <f>TEXT(Table1_2[[#This Row],[Ship Date]],"YYYY")</f>
        <v>2021</v>
      </c>
      <c r="U230" s="1">
        <f>MONTH(1&amp;Table1_2[[#This Row],[Month]])</f>
        <v>2</v>
      </c>
    </row>
    <row r="231" spans="1:21" x14ac:dyDescent="0.3">
      <c r="A231" t="s">
        <v>244</v>
      </c>
      <c r="B231" s="2">
        <v>44763</v>
      </c>
      <c r="C231" s="2">
        <v>45021</v>
      </c>
      <c r="D231" t="s">
        <v>349</v>
      </c>
      <c r="E231" t="s">
        <v>359</v>
      </c>
      <c r="F231" t="s">
        <v>362</v>
      </c>
      <c r="G231" s="1" t="s">
        <v>370</v>
      </c>
      <c r="H231" s="1" t="s">
        <v>414</v>
      </c>
      <c r="I231" s="1" t="s">
        <v>372</v>
      </c>
      <c r="J231" t="s">
        <v>388</v>
      </c>
      <c r="K231" t="str">
        <f ca="1">TRIM(Table1_2[[#This Row],[Sub-Category]])</f>
        <v>Chairs</v>
      </c>
      <c r="L231" s="5">
        <v>329.64</v>
      </c>
      <c r="M231">
        <v>9</v>
      </c>
      <c r="N231" s="17">
        <v>0.02</v>
      </c>
      <c r="O231" s="5">
        <v>787.34</v>
      </c>
      <c r="P231" s="8">
        <f>IF(Table1_2[[#This Row],[Sales]]=0, 0,Table1_2[[#This Row],[Profit]]/Table1_2[[#This Row],[Sales]])</f>
        <v>2.3884844072321321</v>
      </c>
      <c r="Q231" s="7">
        <f>Table1_2[[#This Row],[Sales]]/Table1_2[[#This Row],[Quantity]]</f>
        <v>36.626666666666665</v>
      </c>
      <c r="R231" t="str">
        <f>IF(Table1_2[[#This Row],[Profit]]&gt;0, "YES", "NO")</f>
        <v>YES</v>
      </c>
      <c r="S231" t="str">
        <f>TEXT(Table1_2[[#This Row],[Order Date]], "MMM")</f>
        <v>Jul</v>
      </c>
      <c r="T231" t="str">
        <f>TEXT(Table1_2[[#This Row],[Ship Date]],"YYYY")</f>
        <v>2023</v>
      </c>
      <c r="U231" s="1">
        <f>MONTH(1&amp;Table1_2[[#This Row],[Month]])</f>
        <v>7</v>
      </c>
    </row>
    <row r="232" spans="1:21" x14ac:dyDescent="0.3">
      <c r="A232" t="s">
        <v>245</v>
      </c>
      <c r="B232" s="2">
        <v>44464</v>
      </c>
      <c r="C232" s="2">
        <v>44259</v>
      </c>
      <c r="D232" t="s">
        <v>352</v>
      </c>
      <c r="E232" t="s">
        <v>353</v>
      </c>
      <c r="F232" t="s">
        <v>363</v>
      </c>
      <c r="G232" s="1" t="s">
        <v>370</v>
      </c>
      <c r="H232" s="1" t="s">
        <v>415</v>
      </c>
      <c r="I232" s="1" t="s">
        <v>381</v>
      </c>
      <c r="J232" t="s">
        <v>386</v>
      </c>
      <c r="K232" t="str">
        <f ca="1">TRIM(Table1_2[[#This Row],[Sub-Category]])</f>
        <v>Accessories</v>
      </c>
      <c r="L232" s="5">
        <v>621</v>
      </c>
      <c r="M232">
        <v>3</v>
      </c>
      <c r="N232" s="17">
        <v>0.51</v>
      </c>
      <c r="O232" s="5">
        <v>170.33</v>
      </c>
      <c r="P232" s="8">
        <f>IF(Table1_2[[#This Row],[Sales]]=0, 0,Table1_2[[#This Row],[Profit]]/Table1_2[[#This Row],[Sales]])</f>
        <v>0.27428341384863125</v>
      </c>
      <c r="Q232" s="7">
        <f>Table1_2[[#This Row],[Sales]]/Table1_2[[#This Row],[Quantity]]</f>
        <v>207</v>
      </c>
      <c r="R232" t="str">
        <f>IF(Table1_2[[#This Row],[Profit]]&gt;0, "YES", "NO")</f>
        <v>YES</v>
      </c>
      <c r="S232" t="str">
        <f>TEXT(Table1_2[[#This Row],[Order Date]], "MMM")</f>
        <v>Sep</v>
      </c>
      <c r="T232" t="str">
        <f>TEXT(Table1_2[[#This Row],[Ship Date]],"YYYY")</f>
        <v>2021</v>
      </c>
      <c r="U232" s="1">
        <f>MONTH(1&amp;Table1_2[[#This Row],[Month]])</f>
        <v>9</v>
      </c>
    </row>
    <row r="233" spans="1:21" x14ac:dyDescent="0.3">
      <c r="A233" t="s">
        <v>246</v>
      </c>
      <c r="B233" s="2">
        <v>44955</v>
      </c>
      <c r="C233" s="2">
        <v>44596</v>
      </c>
      <c r="D233" t="s">
        <v>350</v>
      </c>
      <c r="E233" t="s">
        <v>360</v>
      </c>
      <c r="F233" t="s">
        <v>361</v>
      </c>
      <c r="G233" s="1" t="s">
        <v>369</v>
      </c>
      <c r="H233" s="1" t="s">
        <v>414</v>
      </c>
      <c r="I233" s="1" t="s">
        <v>385</v>
      </c>
      <c r="J233" t="s">
        <v>386</v>
      </c>
      <c r="K233" t="str">
        <f ca="1">TRIM(Table1_2[[#This Row],[Sub-Category]])</f>
        <v>Accessories</v>
      </c>
      <c r="L233" s="5">
        <v>672.28</v>
      </c>
      <c r="M233">
        <v>4</v>
      </c>
      <c r="N233" s="17">
        <v>0.02</v>
      </c>
      <c r="O233" s="5">
        <v>547.09</v>
      </c>
      <c r="P233" s="8">
        <f>IF(Table1_2[[#This Row],[Sales]]=0, 0,Table1_2[[#This Row],[Profit]]/Table1_2[[#This Row],[Sales]])</f>
        <v>0.81378294758136493</v>
      </c>
      <c r="Q233" s="7">
        <f>Table1_2[[#This Row],[Sales]]/Table1_2[[#This Row],[Quantity]]</f>
        <v>168.07</v>
      </c>
      <c r="R233" t="str">
        <f>IF(Table1_2[[#This Row],[Profit]]&gt;0, "YES", "NO")</f>
        <v>YES</v>
      </c>
      <c r="S233" t="str">
        <f>TEXT(Table1_2[[#This Row],[Order Date]], "MMM")</f>
        <v>Jan</v>
      </c>
      <c r="T233" t="str">
        <f>TEXT(Table1_2[[#This Row],[Ship Date]],"YYYY")</f>
        <v>2022</v>
      </c>
      <c r="U233" s="1">
        <f>MONTH(1&amp;Table1_2[[#This Row],[Month]])</f>
        <v>1</v>
      </c>
    </row>
    <row r="234" spans="1:21" x14ac:dyDescent="0.3">
      <c r="A234" t="s">
        <v>247</v>
      </c>
      <c r="B234" s="2">
        <v>44914</v>
      </c>
      <c r="C234" s="2">
        <v>44897</v>
      </c>
      <c r="D234" t="s">
        <v>350</v>
      </c>
      <c r="E234" t="s">
        <v>353</v>
      </c>
      <c r="F234" t="s">
        <v>363</v>
      </c>
      <c r="G234" s="1" t="s">
        <v>366</v>
      </c>
      <c r="H234" s="1" t="s">
        <v>374</v>
      </c>
      <c r="I234" s="1" t="s">
        <v>384</v>
      </c>
      <c r="J234" t="s">
        <v>388</v>
      </c>
      <c r="K234" t="str">
        <f ca="1">TRIM(Table1_2[[#This Row],[Sub-Category]])</f>
        <v>Paper</v>
      </c>
      <c r="L234" s="5">
        <v>1269.8800000000001</v>
      </c>
      <c r="M234">
        <v>6</v>
      </c>
      <c r="N234" s="17">
        <v>0.45</v>
      </c>
      <c r="O234" s="5">
        <v>402.78</v>
      </c>
      <c r="P234" s="8">
        <f>IF(Table1_2[[#This Row],[Sales]]=0, 0,Table1_2[[#This Row],[Profit]]/Table1_2[[#This Row],[Sales]])</f>
        <v>0.31717957602293123</v>
      </c>
      <c r="Q234" s="7">
        <f>Table1_2[[#This Row],[Sales]]/Table1_2[[#This Row],[Quantity]]</f>
        <v>211.64666666666668</v>
      </c>
      <c r="R234" t="str">
        <f>IF(Table1_2[[#This Row],[Profit]]&gt;0, "YES", "NO")</f>
        <v>YES</v>
      </c>
      <c r="S234" t="str">
        <f>TEXT(Table1_2[[#This Row],[Order Date]], "MMM")</f>
        <v>Dec</v>
      </c>
      <c r="T234" t="str">
        <f>TEXT(Table1_2[[#This Row],[Ship Date]],"YYYY")</f>
        <v>2022</v>
      </c>
      <c r="U234" s="1">
        <f>MONTH(1&amp;Table1_2[[#This Row],[Month]])</f>
        <v>12</v>
      </c>
    </row>
    <row r="235" spans="1:21" x14ac:dyDescent="0.3">
      <c r="A235" t="s">
        <v>248</v>
      </c>
      <c r="B235" s="2">
        <v>45239</v>
      </c>
      <c r="C235" s="2">
        <v>45188</v>
      </c>
      <c r="D235" t="s">
        <v>350</v>
      </c>
      <c r="E235" t="s">
        <v>358</v>
      </c>
      <c r="F235" t="s">
        <v>361</v>
      </c>
      <c r="G235" s="1" t="s">
        <v>368</v>
      </c>
      <c r="H235" s="1" t="s">
        <v>377</v>
      </c>
      <c r="I235" s="1" t="s">
        <v>382</v>
      </c>
      <c r="J235" t="s">
        <v>386</v>
      </c>
      <c r="K235" t="str">
        <f ca="1">TRIM(Table1_2[[#This Row],[Sub-Category]])</f>
        <v>Phones</v>
      </c>
      <c r="L235" s="5">
        <v>387.4</v>
      </c>
      <c r="M235">
        <v>1</v>
      </c>
      <c r="N235" s="17">
        <v>0.23</v>
      </c>
      <c r="O235" s="5">
        <v>466.6</v>
      </c>
      <c r="P235" s="8">
        <f>IF(Table1_2[[#This Row],[Sales]]=0, 0,Table1_2[[#This Row],[Profit]]/Table1_2[[#This Row],[Sales]])</f>
        <v>1.204439855446567</v>
      </c>
      <c r="Q235" s="7">
        <f>Table1_2[[#This Row],[Sales]]/Table1_2[[#This Row],[Quantity]]</f>
        <v>387.4</v>
      </c>
      <c r="R235" t="str">
        <f>IF(Table1_2[[#This Row],[Profit]]&gt;0, "YES", "NO")</f>
        <v>YES</v>
      </c>
      <c r="S235" t="str">
        <f>TEXT(Table1_2[[#This Row],[Order Date]], "MMM")</f>
        <v>Nov</v>
      </c>
      <c r="T235" t="str">
        <f>TEXT(Table1_2[[#This Row],[Ship Date]],"YYYY")</f>
        <v>2023</v>
      </c>
      <c r="U235" s="1">
        <f>MONTH(1&amp;Table1_2[[#This Row],[Month]])</f>
        <v>11</v>
      </c>
    </row>
    <row r="236" spans="1:21" x14ac:dyDescent="0.3">
      <c r="A236" t="s">
        <v>249</v>
      </c>
      <c r="B236" s="2">
        <v>44346</v>
      </c>
      <c r="C236" s="2">
        <v>45051</v>
      </c>
      <c r="D236" t="s">
        <v>351</v>
      </c>
      <c r="E236" t="s">
        <v>360</v>
      </c>
      <c r="F236" t="s">
        <v>363</v>
      </c>
      <c r="G236" s="1" t="s">
        <v>365</v>
      </c>
      <c r="H236" s="1" t="s">
        <v>414</v>
      </c>
      <c r="I236" s="1" t="s">
        <v>383</v>
      </c>
      <c r="J236" t="s">
        <v>372</v>
      </c>
      <c r="K236" t="str">
        <f ca="1">TRIM(Table1_2[[#This Row],[Sub-Category]])</f>
        <v>Chairs</v>
      </c>
      <c r="L236" s="5">
        <v>1839.6</v>
      </c>
      <c r="M236">
        <v>3</v>
      </c>
      <c r="N236" s="17">
        <v>0.36</v>
      </c>
      <c r="O236" s="5">
        <v>539.87</v>
      </c>
      <c r="P236" s="8">
        <f>IF(Table1_2[[#This Row],[Sales]]=0, 0,Table1_2[[#This Row],[Profit]]/Table1_2[[#This Row],[Sales]])</f>
        <v>0.29347140682757122</v>
      </c>
      <c r="Q236" s="7">
        <f>Table1_2[[#This Row],[Sales]]/Table1_2[[#This Row],[Quantity]]</f>
        <v>613.19999999999993</v>
      </c>
      <c r="R236" t="str">
        <f>IF(Table1_2[[#This Row],[Profit]]&gt;0, "YES", "NO")</f>
        <v>YES</v>
      </c>
      <c r="S236" t="str">
        <f>TEXT(Table1_2[[#This Row],[Order Date]], "MMM")</f>
        <v>May</v>
      </c>
      <c r="T236" t="str">
        <f>TEXT(Table1_2[[#This Row],[Ship Date]],"YYYY")</f>
        <v>2023</v>
      </c>
      <c r="U236" s="1">
        <f>MONTH(1&amp;Table1_2[[#This Row],[Month]])</f>
        <v>5</v>
      </c>
    </row>
    <row r="237" spans="1:21" x14ac:dyDescent="0.3">
      <c r="A237" t="s">
        <v>250</v>
      </c>
      <c r="B237" s="2">
        <v>44616</v>
      </c>
      <c r="C237" s="2">
        <v>44335</v>
      </c>
      <c r="D237" t="s">
        <v>350</v>
      </c>
      <c r="E237" t="s">
        <v>358</v>
      </c>
      <c r="F237" t="s">
        <v>362</v>
      </c>
      <c r="G237" s="1" t="s">
        <v>369</v>
      </c>
      <c r="H237" s="1" t="s">
        <v>378</v>
      </c>
      <c r="I237" s="1" t="s">
        <v>381</v>
      </c>
      <c r="J237" t="s">
        <v>386</v>
      </c>
      <c r="K237" t="str">
        <f ca="1">TRIM(Table1_2[[#This Row],[Sub-Category]])</f>
        <v>Paper</v>
      </c>
      <c r="L237" s="5">
        <v>215</v>
      </c>
      <c r="M237">
        <v>2</v>
      </c>
      <c r="N237" s="17">
        <v>0.15</v>
      </c>
      <c r="O237" s="5">
        <v>549.73</v>
      </c>
      <c r="P237" s="8">
        <f>IF(Table1_2[[#This Row],[Sales]]=0, 0,Table1_2[[#This Row],[Profit]]/Table1_2[[#This Row],[Sales]])</f>
        <v>2.5568837209302329</v>
      </c>
      <c r="Q237" s="7">
        <f>Table1_2[[#This Row],[Sales]]/Table1_2[[#This Row],[Quantity]]</f>
        <v>107.5</v>
      </c>
      <c r="R237" t="str">
        <f>IF(Table1_2[[#This Row],[Profit]]&gt;0, "YES", "NO")</f>
        <v>YES</v>
      </c>
      <c r="S237" t="str">
        <f>TEXT(Table1_2[[#This Row],[Order Date]], "MMM")</f>
        <v>Feb</v>
      </c>
      <c r="T237" t="str">
        <f>TEXT(Table1_2[[#This Row],[Ship Date]],"YYYY")</f>
        <v>2021</v>
      </c>
      <c r="U237" s="1">
        <f>MONTH(1&amp;Table1_2[[#This Row],[Month]])</f>
        <v>2</v>
      </c>
    </row>
    <row r="238" spans="1:21" x14ac:dyDescent="0.3">
      <c r="A238" t="s">
        <v>251</v>
      </c>
      <c r="B238" s="2">
        <v>45121</v>
      </c>
      <c r="C238" s="2">
        <v>45185</v>
      </c>
      <c r="D238" t="s">
        <v>352</v>
      </c>
      <c r="E238" t="s">
        <v>359</v>
      </c>
      <c r="F238" t="s">
        <v>362</v>
      </c>
      <c r="G238" s="1" t="s">
        <v>415</v>
      </c>
      <c r="H238" s="1" t="s">
        <v>415</v>
      </c>
      <c r="I238" s="1" t="s">
        <v>382</v>
      </c>
      <c r="J238" t="s">
        <v>386</v>
      </c>
      <c r="K238" t="str">
        <f ca="1">TRIM(Table1_2[[#This Row],[Sub-Category]])</f>
        <v>Accessories</v>
      </c>
      <c r="L238" s="5">
        <v>24</v>
      </c>
      <c r="M238">
        <v>9</v>
      </c>
      <c r="N238" s="17">
        <v>0.09</v>
      </c>
      <c r="O238" s="5">
        <v>685.75</v>
      </c>
      <c r="P238" s="8">
        <f>IF(Table1_2[[#This Row],[Sales]]=0, 0,Table1_2[[#This Row],[Profit]]/Table1_2[[#This Row],[Sales]])</f>
        <v>28.572916666666668</v>
      </c>
      <c r="Q238" s="7">
        <f>Table1_2[[#This Row],[Sales]]/Table1_2[[#This Row],[Quantity]]</f>
        <v>2.6666666666666665</v>
      </c>
      <c r="R238" t="str">
        <f>IF(Table1_2[[#This Row],[Profit]]&gt;0, "YES", "NO")</f>
        <v>YES</v>
      </c>
      <c r="S238" t="str">
        <f>TEXT(Table1_2[[#This Row],[Order Date]], "MMM")</f>
        <v>Jul</v>
      </c>
      <c r="T238" t="str">
        <f>TEXT(Table1_2[[#This Row],[Ship Date]],"YYYY")</f>
        <v>2023</v>
      </c>
      <c r="U238" s="1">
        <f>MONTH(1&amp;Table1_2[[#This Row],[Month]])</f>
        <v>7</v>
      </c>
    </row>
    <row r="239" spans="1:21" x14ac:dyDescent="0.3">
      <c r="A239" t="s">
        <v>252</v>
      </c>
      <c r="B239" s="2">
        <v>44711</v>
      </c>
      <c r="C239" s="2">
        <v>44851</v>
      </c>
      <c r="D239" t="s">
        <v>349</v>
      </c>
      <c r="E239" t="s">
        <v>354</v>
      </c>
      <c r="F239" t="s">
        <v>363</v>
      </c>
      <c r="G239" s="1" t="s">
        <v>368</v>
      </c>
      <c r="H239" s="1" t="s">
        <v>374</v>
      </c>
      <c r="I239" s="1" t="s">
        <v>385</v>
      </c>
      <c r="J239" t="s">
        <v>386</v>
      </c>
      <c r="K239" t="str">
        <f ca="1">TRIM(Table1_2[[#This Row],[Sub-Category]])</f>
        <v>Binders</v>
      </c>
      <c r="L239" s="5">
        <v>1711.34</v>
      </c>
      <c r="M239">
        <v>9</v>
      </c>
      <c r="N239" s="17">
        <v>0.32</v>
      </c>
      <c r="O239" s="5">
        <v>149</v>
      </c>
      <c r="P239" s="8">
        <f>IF(Table1_2[[#This Row],[Sales]]=0, 0,Table1_2[[#This Row],[Profit]]/Table1_2[[#This Row],[Sales]])</f>
        <v>8.7066275550153685E-2</v>
      </c>
      <c r="Q239" s="7">
        <f>Table1_2[[#This Row],[Sales]]/Table1_2[[#This Row],[Quantity]]</f>
        <v>190.14888888888888</v>
      </c>
      <c r="R239" t="str">
        <f>IF(Table1_2[[#This Row],[Profit]]&gt;0, "YES", "NO")</f>
        <v>YES</v>
      </c>
      <c r="S239" t="str">
        <f>TEXT(Table1_2[[#This Row],[Order Date]], "MMM")</f>
        <v>May</v>
      </c>
      <c r="T239" t="str">
        <f>TEXT(Table1_2[[#This Row],[Ship Date]],"YYYY")</f>
        <v>2022</v>
      </c>
      <c r="U239" s="1">
        <f>MONTH(1&amp;Table1_2[[#This Row],[Month]])</f>
        <v>5</v>
      </c>
    </row>
    <row r="240" spans="1:21" x14ac:dyDescent="0.3">
      <c r="A240" t="s">
        <v>253</v>
      </c>
      <c r="B240" s="2">
        <v>44934</v>
      </c>
      <c r="C240" s="2">
        <v>44377</v>
      </c>
      <c r="D240" t="s">
        <v>349</v>
      </c>
      <c r="E240" t="s">
        <v>355</v>
      </c>
      <c r="F240" t="s">
        <v>361</v>
      </c>
      <c r="G240" s="1" t="s">
        <v>370</v>
      </c>
      <c r="H240" s="1" t="s">
        <v>414</v>
      </c>
      <c r="I240" s="1" t="s">
        <v>381</v>
      </c>
      <c r="J240" t="s">
        <v>388</v>
      </c>
      <c r="K240" t="str">
        <f ca="1">TRIM(Table1_2[[#This Row],[Sub-Category]])</f>
        <v>Binders</v>
      </c>
      <c r="L240" s="5">
        <v>1410.5</v>
      </c>
      <c r="M240">
        <v>7</v>
      </c>
      <c r="N240" s="17">
        <v>0.42</v>
      </c>
      <c r="O240" s="5">
        <v>453.48</v>
      </c>
      <c r="P240" s="8">
        <f>IF(Table1_2[[#This Row],[Sales]]=0, 0,Table1_2[[#This Row],[Profit]]/Table1_2[[#This Row],[Sales]])</f>
        <v>0.32150301311591634</v>
      </c>
      <c r="Q240" s="7">
        <f>Table1_2[[#This Row],[Sales]]/Table1_2[[#This Row],[Quantity]]</f>
        <v>201.5</v>
      </c>
      <c r="R240" t="str">
        <f>IF(Table1_2[[#This Row],[Profit]]&gt;0, "YES", "NO")</f>
        <v>YES</v>
      </c>
      <c r="S240" t="str">
        <f>TEXT(Table1_2[[#This Row],[Order Date]], "MMM")</f>
        <v>Jan</v>
      </c>
      <c r="T240" t="str">
        <f>TEXT(Table1_2[[#This Row],[Ship Date]],"YYYY")</f>
        <v>2021</v>
      </c>
      <c r="U240" s="1">
        <f>MONTH(1&amp;Table1_2[[#This Row],[Month]])</f>
        <v>1</v>
      </c>
    </row>
    <row r="241" spans="1:21" x14ac:dyDescent="0.3">
      <c r="A241" t="s">
        <v>254</v>
      </c>
      <c r="B241" s="2">
        <v>44209</v>
      </c>
      <c r="C241" s="2">
        <v>44646</v>
      </c>
      <c r="D241" t="s">
        <v>350</v>
      </c>
      <c r="E241" t="s">
        <v>359</v>
      </c>
      <c r="F241" t="s">
        <v>362</v>
      </c>
      <c r="G241" s="1" t="s">
        <v>370</v>
      </c>
      <c r="H241" s="1" t="s">
        <v>376</v>
      </c>
      <c r="I241" s="1" t="s">
        <v>384</v>
      </c>
      <c r="J241" t="s">
        <v>388</v>
      </c>
      <c r="K241" t="str">
        <f ca="1">TRIM(Table1_2[[#This Row],[Sub-Category]])</f>
        <v>Tables</v>
      </c>
      <c r="L241" s="5">
        <v>717.17</v>
      </c>
      <c r="M241">
        <v>3</v>
      </c>
      <c r="N241" s="17">
        <v>0.12</v>
      </c>
      <c r="O241" s="5">
        <v>80.290000000000006</v>
      </c>
      <c r="P241" s="8">
        <f>IF(Table1_2[[#This Row],[Sales]]=0, 0,Table1_2[[#This Row],[Profit]]/Table1_2[[#This Row],[Sales]])</f>
        <v>0.11195393003053671</v>
      </c>
      <c r="Q241" s="7">
        <f>Table1_2[[#This Row],[Sales]]/Table1_2[[#This Row],[Quantity]]</f>
        <v>239.05666666666664</v>
      </c>
      <c r="R241" t="str">
        <f>IF(Table1_2[[#This Row],[Profit]]&gt;0, "YES", "NO")</f>
        <v>YES</v>
      </c>
      <c r="S241" t="str">
        <f>TEXT(Table1_2[[#This Row],[Order Date]], "MMM")</f>
        <v>Jan</v>
      </c>
      <c r="T241" t="str">
        <f>TEXT(Table1_2[[#This Row],[Ship Date]],"YYYY")</f>
        <v>2022</v>
      </c>
      <c r="U241" s="1">
        <f>MONTH(1&amp;Table1_2[[#This Row],[Month]])</f>
        <v>1</v>
      </c>
    </row>
    <row r="242" spans="1:21" x14ac:dyDescent="0.3">
      <c r="A242" t="s">
        <v>255</v>
      </c>
      <c r="B242" s="2">
        <v>44232</v>
      </c>
      <c r="C242" s="2">
        <v>45115</v>
      </c>
      <c r="D242" t="s">
        <v>352</v>
      </c>
      <c r="E242" t="s">
        <v>355</v>
      </c>
      <c r="F242" t="s">
        <v>361</v>
      </c>
      <c r="G242" s="1" t="s">
        <v>371</v>
      </c>
      <c r="H242" s="1" t="s">
        <v>374</v>
      </c>
      <c r="I242" s="1" t="s">
        <v>372</v>
      </c>
      <c r="J242" t="s">
        <v>386</v>
      </c>
      <c r="K242" t="str">
        <f ca="1">TRIM(Table1_2[[#This Row],[Sub-Category]])</f>
        <v>Tables</v>
      </c>
      <c r="L242" s="5">
        <v>1195</v>
      </c>
      <c r="M242">
        <v>6</v>
      </c>
      <c r="N242" s="17">
        <v>0.26</v>
      </c>
      <c r="O242" s="5">
        <v>395</v>
      </c>
      <c r="P242" s="8">
        <f>IF(Table1_2[[#This Row],[Sales]]=0, 0,Table1_2[[#This Row],[Profit]]/Table1_2[[#This Row],[Sales]])</f>
        <v>0.33054393305439328</v>
      </c>
      <c r="Q242" s="7">
        <f>Table1_2[[#This Row],[Sales]]/Table1_2[[#This Row],[Quantity]]</f>
        <v>199.16666666666666</v>
      </c>
      <c r="R242" t="str">
        <f>IF(Table1_2[[#This Row],[Profit]]&gt;0, "YES", "NO")</f>
        <v>YES</v>
      </c>
      <c r="S242" t="str">
        <f>TEXT(Table1_2[[#This Row],[Order Date]], "MMM")</f>
        <v>Feb</v>
      </c>
      <c r="T242" t="str">
        <f>TEXT(Table1_2[[#This Row],[Ship Date]],"YYYY")</f>
        <v>2023</v>
      </c>
      <c r="U242" s="1">
        <f>MONTH(1&amp;Table1_2[[#This Row],[Month]])</f>
        <v>2</v>
      </c>
    </row>
    <row r="243" spans="1:21" x14ac:dyDescent="0.3">
      <c r="A243" t="s">
        <v>256</v>
      </c>
      <c r="B243" s="2">
        <v>44993</v>
      </c>
      <c r="C243" s="2">
        <v>44590</v>
      </c>
      <c r="D243" t="s">
        <v>352</v>
      </c>
      <c r="E243" t="s">
        <v>354</v>
      </c>
      <c r="F243" t="s">
        <v>364</v>
      </c>
      <c r="G243" s="1" t="s">
        <v>373</v>
      </c>
      <c r="H243" s="1" t="s">
        <v>379</v>
      </c>
      <c r="I243" s="1" t="s">
        <v>383</v>
      </c>
      <c r="J243" t="s">
        <v>372</v>
      </c>
      <c r="K243" t="str">
        <f ca="1">TRIM(Table1_2[[#This Row],[Sub-Category]])</f>
        <v>Tables</v>
      </c>
      <c r="L243" s="5">
        <v>454.85</v>
      </c>
      <c r="M243">
        <v>6</v>
      </c>
      <c r="N243" s="17">
        <v>0.27</v>
      </c>
      <c r="O243" s="5">
        <v>551.17999999999995</v>
      </c>
      <c r="P243" s="8">
        <f>IF(Table1_2[[#This Row],[Sales]]=0, 0,Table1_2[[#This Row],[Profit]]/Table1_2[[#This Row],[Sales]])</f>
        <v>1.2117841046498845</v>
      </c>
      <c r="Q243" s="7">
        <f>Table1_2[[#This Row],[Sales]]/Table1_2[[#This Row],[Quantity]]</f>
        <v>75.808333333333337</v>
      </c>
      <c r="R243" t="str">
        <f>IF(Table1_2[[#This Row],[Profit]]&gt;0, "YES", "NO")</f>
        <v>YES</v>
      </c>
      <c r="S243" t="str">
        <f>TEXT(Table1_2[[#This Row],[Order Date]], "MMM")</f>
        <v>Mar</v>
      </c>
      <c r="T243" t="str">
        <f>TEXT(Table1_2[[#This Row],[Ship Date]],"YYYY")</f>
        <v>2022</v>
      </c>
      <c r="U243" s="1">
        <f>MONTH(1&amp;Table1_2[[#This Row],[Month]])</f>
        <v>3</v>
      </c>
    </row>
    <row r="244" spans="1:21" x14ac:dyDescent="0.3">
      <c r="A244" t="s">
        <v>257</v>
      </c>
      <c r="B244" s="2">
        <v>44555</v>
      </c>
      <c r="C244" s="2">
        <v>44293</v>
      </c>
      <c r="D244" t="s">
        <v>349</v>
      </c>
      <c r="E244" t="s">
        <v>355</v>
      </c>
      <c r="F244" t="s">
        <v>362</v>
      </c>
      <c r="G244" s="1" t="s">
        <v>373</v>
      </c>
      <c r="H244" s="1" t="s">
        <v>375</v>
      </c>
      <c r="I244" s="1" t="s">
        <v>385</v>
      </c>
      <c r="J244" t="s">
        <v>388</v>
      </c>
      <c r="K244" t="str">
        <f ca="1">TRIM(Table1_2[[#This Row],[Sub-Category]])</f>
        <v>Binders</v>
      </c>
      <c r="L244" s="5">
        <v>345.1</v>
      </c>
      <c r="M244">
        <v>8</v>
      </c>
      <c r="N244" s="17">
        <v>0.13</v>
      </c>
      <c r="O244" s="5">
        <v>591</v>
      </c>
      <c r="P244" s="8">
        <f>IF(Table1_2[[#This Row],[Sales]]=0, 0,Table1_2[[#This Row],[Profit]]/Table1_2[[#This Row],[Sales]])</f>
        <v>1.7125470878006375</v>
      </c>
      <c r="Q244" s="7">
        <f>Table1_2[[#This Row],[Sales]]/Table1_2[[#This Row],[Quantity]]</f>
        <v>43.137500000000003</v>
      </c>
      <c r="R244" t="str">
        <f>IF(Table1_2[[#This Row],[Profit]]&gt;0, "YES", "NO")</f>
        <v>YES</v>
      </c>
      <c r="S244" t="str">
        <f>TEXT(Table1_2[[#This Row],[Order Date]], "MMM")</f>
        <v>Dec</v>
      </c>
      <c r="T244" t="str">
        <f>TEXT(Table1_2[[#This Row],[Ship Date]],"YYYY")</f>
        <v>2021</v>
      </c>
      <c r="U244" s="1">
        <f>MONTH(1&amp;Table1_2[[#This Row],[Month]])</f>
        <v>12</v>
      </c>
    </row>
    <row r="245" spans="1:21" x14ac:dyDescent="0.3">
      <c r="A245" t="s">
        <v>258</v>
      </c>
      <c r="B245" s="2">
        <v>44717</v>
      </c>
      <c r="C245" s="2">
        <v>45073</v>
      </c>
      <c r="D245" t="s">
        <v>349</v>
      </c>
      <c r="E245" t="s">
        <v>353</v>
      </c>
      <c r="F245" t="s">
        <v>363</v>
      </c>
      <c r="G245" s="1" t="s">
        <v>369</v>
      </c>
      <c r="H245" s="1" t="s">
        <v>379</v>
      </c>
      <c r="I245" s="1" t="s">
        <v>383</v>
      </c>
      <c r="J245" t="s">
        <v>387</v>
      </c>
      <c r="K245" t="str">
        <f ca="1">TRIM(Table1_2[[#This Row],[Sub-Category]])</f>
        <v>Paper</v>
      </c>
      <c r="L245" s="5">
        <v>947.59</v>
      </c>
      <c r="M245">
        <v>2</v>
      </c>
      <c r="N245" s="17">
        <v>0.34</v>
      </c>
      <c r="O245" s="5">
        <v>220.12</v>
      </c>
      <c r="P245" s="8">
        <f>IF(Table1_2[[#This Row],[Sales]]=0, 0,Table1_2[[#This Row],[Profit]]/Table1_2[[#This Row],[Sales]])</f>
        <v>0.23229455777287644</v>
      </c>
      <c r="Q245" s="7">
        <f>Table1_2[[#This Row],[Sales]]/Table1_2[[#This Row],[Quantity]]</f>
        <v>473.79500000000002</v>
      </c>
      <c r="R245" t="str">
        <f>IF(Table1_2[[#This Row],[Profit]]&gt;0, "YES", "NO")</f>
        <v>YES</v>
      </c>
      <c r="S245" t="str">
        <f>TEXT(Table1_2[[#This Row],[Order Date]], "MMM")</f>
        <v>Jun</v>
      </c>
      <c r="T245" t="str">
        <f>TEXT(Table1_2[[#This Row],[Ship Date]],"YYYY")</f>
        <v>2023</v>
      </c>
      <c r="U245" s="1">
        <f>MONTH(1&amp;Table1_2[[#This Row],[Month]])</f>
        <v>6</v>
      </c>
    </row>
    <row r="246" spans="1:21" x14ac:dyDescent="0.3">
      <c r="A246" t="s">
        <v>259</v>
      </c>
      <c r="B246" s="2">
        <v>44684</v>
      </c>
      <c r="C246" s="2">
        <v>45268</v>
      </c>
      <c r="D246" t="s">
        <v>352</v>
      </c>
      <c r="E246" t="s">
        <v>354</v>
      </c>
      <c r="F246" t="s">
        <v>361</v>
      </c>
      <c r="G246" s="1" t="s">
        <v>368</v>
      </c>
      <c r="H246" s="1" t="s">
        <v>378</v>
      </c>
      <c r="I246" s="1" t="s">
        <v>381</v>
      </c>
      <c r="J246" t="s">
        <v>387</v>
      </c>
      <c r="K246" t="str">
        <f ca="1">TRIM(Table1_2[[#This Row],[Sub-Category]])</f>
        <v>Binders</v>
      </c>
      <c r="L246" s="5">
        <v>712.84</v>
      </c>
      <c r="M246">
        <v>7</v>
      </c>
      <c r="N246" s="17">
        <v>0.09</v>
      </c>
      <c r="O246" s="5">
        <v>308.72000000000003</v>
      </c>
      <c r="P246" s="8">
        <f>IF(Table1_2[[#This Row],[Sales]]=0, 0,Table1_2[[#This Row],[Profit]]/Table1_2[[#This Row],[Sales]])</f>
        <v>0.43308456315582744</v>
      </c>
      <c r="Q246" s="7">
        <f>Table1_2[[#This Row],[Sales]]/Table1_2[[#This Row],[Quantity]]</f>
        <v>101.83428571428571</v>
      </c>
      <c r="R246" t="str">
        <f>IF(Table1_2[[#This Row],[Profit]]&gt;0, "YES", "NO")</f>
        <v>YES</v>
      </c>
      <c r="S246" t="str">
        <f>TEXT(Table1_2[[#This Row],[Order Date]], "MMM")</f>
        <v>May</v>
      </c>
      <c r="T246" t="str">
        <f>TEXT(Table1_2[[#This Row],[Ship Date]],"YYYY")</f>
        <v>2023</v>
      </c>
      <c r="U246" s="1">
        <f>MONTH(1&amp;Table1_2[[#This Row],[Month]])</f>
        <v>5</v>
      </c>
    </row>
    <row r="247" spans="1:21" x14ac:dyDescent="0.3">
      <c r="A247" t="s">
        <v>260</v>
      </c>
      <c r="B247" s="2">
        <v>44604</v>
      </c>
      <c r="C247" s="2">
        <v>45173</v>
      </c>
      <c r="D247" t="s">
        <v>352</v>
      </c>
      <c r="E247" t="s">
        <v>356</v>
      </c>
      <c r="F247" t="s">
        <v>361</v>
      </c>
      <c r="G247" s="1" t="s">
        <v>415</v>
      </c>
      <c r="H247" s="1" t="s">
        <v>374</v>
      </c>
      <c r="I247" s="1" t="s">
        <v>385</v>
      </c>
      <c r="J247" t="s">
        <v>388</v>
      </c>
      <c r="K247" t="str">
        <f ca="1">TRIM(Table1_2[[#This Row],[Sub-Category]])</f>
        <v>Paper</v>
      </c>
      <c r="L247" s="5">
        <v>1234.31</v>
      </c>
      <c r="M247">
        <v>2</v>
      </c>
      <c r="N247" s="17">
        <v>0.31</v>
      </c>
      <c r="O247" s="5">
        <v>133.85</v>
      </c>
      <c r="P247" s="8">
        <f>IF(Table1_2[[#This Row],[Sales]]=0, 0,Table1_2[[#This Row],[Profit]]/Table1_2[[#This Row],[Sales]])</f>
        <v>0.10844115335693627</v>
      </c>
      <c r="Q247" s="7">
        <f>Table1_2[[#This Row],[Sales]]/Table1_2[[#This Row],[Quantity]]</f>
        <v>617.15499999999997</v>
      </c>
      <c r="R247" t="str">
        <f>IF(Table1_2[[#This Row],[Profit]]&gt;0, "YES", "NO")</f>
        <v>YES</v>
      </c>
      <c r="S247" t="str">
        <f>TEXT(Table1_2[[#This Row],[Order Date]], "MMM")</f>
        <v>Feb</v>
      </c>
      <c r="T247" t="str">
        <f>TEXT(Table1_2[[#This Row],[Ship Date]],"YYYY")</f>
        <v>2023</v>
      </c>
      <c r="U247" s="1">
        <f>MONTH(1&amp;Table1_2[[#This Row],[Month]])</f>
        <v>2</v>
      </c>
    </row>
    <row r="248" spans="1:21" x14ac:dyDescent="0.3">
      <c r="A248" t="s">
        <v>261</v>
      </c>
      <c r="B248" s="2">
        <v>45136</v>
      </c>
      <c r="C248" s="2">
        <v>45153</v>
      </c>
      <c r="D248" t="s">
        <v>352</v>
      </c>
      <c r="E248" t="s">
        <v>358</v>
      </c>
      <c r="F248" t="s">
        <v>362</v>
      </c>
      <c r="G248" s="1" t="s">
        <v>365</v>
      </c>
      <c r="H248" s="1" t="s">
        <v>375</v>
      </c>
      <c r="I248" s="1" t="s">
        <v>383</v>
      </c>
      <c r="J248" t="s">
        <v>387</v>
      </c>
      <c r="K248" t="str">
        <f ca="1">TRIM(Table1_2[[#This Row],[Sub-Category]])</f>
        <v>Accessories</v>
      </c>
      <c r="L248" s="5">
        <v>444.12</v>
      </c>
      <c r="M248">
        <v>6</v>
      </c>
      <c r="N248" s="17">
        <v>7.0000000000000007E-2</v>
      </c>
      <c r="O248" s="5">
        <v>-30.96</v>
      </c>
      <c r="P248" s="8">
        <f>IF(Table1_2[[#This Row],[Sales]]=0, 0,Table1_2[[#This Row],[Profit]]/Table1_2[[#This Row],[Sales]])</f>
        <v>-6.9710888948932723E-2</v>
      </c>
      <c r="Q248" s="7">
        <f>Table1_2[[#This Row],[Sales]]/Table1_2[[#This Row],[Quantity]]</f>
        <v>74.02</v>
      </c>
      <c r="R248" t="str">
        <f>IF(Table1_2[[#This Row],[Profit]]&gt;0, "YES", "NO")</f>
        <v>NO</v>
      </c>
      <c r="S248" t="str">
        <f>TEXT(Table1_2[[#This Row],[Order Date]], "MMM")</f>
        <v>Jul</v>
      </c>
      <c r="T248" t="str">
        <f>TEXT(Table1_2[[#This Row],[Ship Date]],"YYYY")</f>
        <v>2023</v>
      </c>
      <c r="U248" s="1">
        <f>MONTH(1&amp;Table1_2[[#This Row],[Month]])</f>
        <v>7</v>
      </c>
    </row>
    <row r="249" spans="1:21" x14ac:dyDescent="0.3">
      <c r="A249" t="s">
        <v>262</v>
      </c>
      <c r="B249" s="2">
        <v>44320</v>
      </c>
      <c r="C249" s="2">
        <v>45070</v>
      </c>
      <c r="D249" t="s">
        <v>349</v>
      </c>
      <c r="E249" t="s">
        <v>359</v>
      </c>
      <c r="F249" t="s">
        <v>362</v>
      </c>
      <c r="G249" s="1" t="s">
        <v>370</v>
      </c>
      <c r="H249" s="1" t="s">
        <v>375</v>
      </c>
      <c r="I249" s="1" t="s">
        <v>385</v>
      </c>
      <c r="J249" t="s">
        <v>386</v>
      </c>
      <c r="K249" t="str">
        <f ca="1">TRIM(Table1_2[[#This Row],[Sub-Category]])</f>
        <v>NA</v>
      </c>
      <c r="L249" s="5">
        <v>1329.23</v>
      </c>
      <c r="M249">
        <v>8</v>
      </c>
      <c r="N249" s="17">
        <v>0.28999999999999998</v>
      </c>
      <c r="O249" s="5">
        <v>61</v>
      </c>
      <c r="P249" s="8">
        <f>IF(Table1_2[[#This Row],[Sales]]=0, 0,Table1_2[[#This Row],[Profit]]/Table1_2[[#This Row],[Sales]])</f>
        <v>4.5891230261128624E-2</v>
      </c>
      <c r="Q249" s="7">
        <f>Table1_2[[#This Row],[Sales]]/Table1_2[[#This Row],[Quantity]]</f>
        <v>166.15375</v>
      </c>
      <c r="R249" t="str">
        <f>IF(Table1_2[[#This Row],[Profit]]&gt;0, "YES", "NO")</f>
        <v>YES</v>
      </c>
      <c r="S249" t="str">
        <f>TEXT(Table1_2[[#This Row],[Order Date]], "MMM")</f>
        <v>May</v>
      </c>
      <c r="T249" t="str">
        <f>TEXT(Table1_2[[#This Row],[Ship Date]],"YYYY")</f>
        <v>2023</v>
      </c>
      <c r="U249" s="1">
        <f>MONTH(1&amp;Table1_2[[#This Row],[Month]])</f>
        <v>5</v>
      </c>
    </row>
    <row r="250" spans="1:21" x14ac:dyDescent="0.3">
      <c r="A250" t="s">
        <v>263</v>
      </c>
      <c r="B250" s="2">
        <v>44969</v>
      </c>
      <c r="C250" s="2">
        <v>44652</v>
      </c>
      <c r="D250" t="s">
        <v>349</v>
      </c>
      <c r="E250" t="s">
        <v>358</v>
      </c>
      <c r="F250" t="s">
        <v>361</v>
      </c>
      <c r="G250" s="1" t="s">
        <v>366</v>
      </c>
      <c r="H250" s="1" t="s">
        <v>379</v>
      </c>
      <c r="I250" s="1" t="s">
        <v>385</v>
      </c>
      <c r="J250" t="s">
        <v>388</v>
      </c>
      <c r="K250" t="str">
        <f ca="1">TRIM(Table1_2[[#This Row],[Sub-Category]])</f>
        <v>Chairs</v>
      </c>
      <c r="L250" s="5">
        <v>1536.05</v>
      </c>
      <c r="M250">
        <v>1</v>
      </c>
      <c r="N250" s="17">
        <v>0.19</v>
      </c>
      <c r="O250" s="5">
        <v>712.14</v>
      </c>
      <c r="P250" s="8">
        <f>IF(Table1_2[[#This Row],[Sales]]=0, 0,Table1_2[[#This Row],[Profit]]/Table1_2[[#This Row],[Sales]])</f>
        <v>0.46361772077731844</v>
      </c>
      <c r="Q250" s="7">
        <f>Table1_2[[#This Row],[Sales]]/Table1_2[[#This Row],[Quantity]]</f>
        <v>1536.05</v>
      </c>
      <c r="R250" t="str">
        <f>IF(Table1_2[[#This Row],[Profit]]&gt;0, "YES", "NO")</f>
        <v>YES</v>
      </c>
      <c r="S250" t="str">
        <f>TEXT(Table1_2[[#This Row],[Order Date]], "MMM")</f>
        <v>Feb</v>
      </c>
      <c r="T250" t="str">
        <f>TEXT(Table1_2[[#This Row],[Ship Date]],"YYYY")</f>
        <v>2022</v>
      </c>
      <c r="U250" s="1">
        <f>MONTH(1&amp;Table1_2[[#This Row],[Month]])</f>
        <v>2</v>
      </c>
    </row>
    <row r="251" spans="1:21" x14ac:dyDescent="0.3">
      <c r="A251" t="s">
        <v>264</v>
      </c>
      <c r="B251" s="2">
        <v>45086</v>
      </c>
      <c r="C251" s="2">
        <v>44390</v>
      </c>
      <c r="D251" t="s">
        <v>349</v>
      </c>
      <c r="E251" t="s">
        <v>357</v>
      </c>
      <c r="F251" t="s">
        <v>361</v>
      </c>
      <c r="G251" s="1" t="s">
        <v>371</v>
      </c>
      <c r="H251" s="1" t="s">
        <v>377</v>
      </c>
      <c r="I251" s="1" t="s">
        <v>385</v>
      </c>
      <c r="J251" t="s">
        <v>388</v>
      </c>
      <c r="K251" t="str">
        <f ca="1">TRIM(Table1_2[[#This Row],[Sub-Category]])</f>
        <v>Accessories</v>
      </c>
      <c r="L251" s="5">
        <v>341.61</v>
      </c>
      <c r="M251">
        <v>2</v>
      </c>
      <c r="N251" s="17">
        <v>0.27</v>
      </c>
      <c r="O251" s="5">
        <v>108.97</v>
      </c>
      <c r="P251" s="8">
        <f>IF(Table1_2[[#This Row],[Sales]]=0, 0,Table1_2[[#This Row],[Profit]]/Table1_2[[#This Row],[Sales]])</f>
        <v>0.31898949093996076</v>
      </c>
      <c r="Q251" s="7">
        <f>Table1_2[[#This Row],[Sales]]/Table1_2[[#This Row],[Quantity]]</f>
        <v>170.80500000000001</v>
      </c>
      <c r="R251" t="str">
        <f>IF(Table1_2[[#This Row],[Profit]]&gt;0, "YES", "NO")</f>
        <v>YES</v>
      </c>
      <c r="S251" t="str">
        <f>TEXT(Table1_2[[#This Row],[Order Date]], "MMM")</f>
        <v>Jun</v>
      </c>
      <c r="T251" t="str">
        <f>TEXT(Table1_2[[#This Row],[Ship Date]],"YYYY")</f>
        <v>2021</v>
      </c>
      <c r="U251" s="1">
        <f>MONTH(1&amp;Table1_2[[#This Row],[Month]])</f>
        <v>6</v>
      </c>
    </row>
    <row r="252" spans="1:21" x14ac:dyDescent="0.3">
      <c r="A252" t="s">
        <v>265</v>
      </c>
      <c r="B252" s="2">
        <v>44854</v>
      </c>
      <c r="C252" s="2">
        <v>44874</v>
      </c>
      <c r="D252" t="s">
        <v>350</v>
      </c>
      <c r="E252" t="s">
        <v>360</v>
      </c>
      <c r="F252" t="s">
        <v>362</v>
      </c>
      <c r="G252" s="1" t="s">
        <v>415</v>
      </c>
      <c r="H252" s="1" t="s">
        <v>376</v>
      </c>
      <c r="I252" s="1" t="s">
        <v>381</v>
      </c>
      <c r="J252" t="s">
        <v>372</v>
      </c>
      <c r="K252" t="str">
        <f ca="1">TRIM(Table1_2[[#This Row],[Sub-Category]])</f>
        <v>Chairs</v>
      </c>
      <c r="L252" s="5">
        <v>97.28</v>
      </c>
      <c r="M252">
        <v>8</v>
      </c>
      <c r="N252" s="17">
        <v>0.26</v>
      </c>
      <c r="O252" s="5">
        <v>774.76</v>
      </c>
      <c r="P252" s="8">
        <f>IF(Table1_2[[#This Row],[Sales]]=0, 0,Table1_2[[#This Row],[Profit]]/Table1_2[[#This Row],[Sales]])</f>
        <v>7.9642269736842106</v>
      </c>
      <c r="Q252" s="7">
        <f>Table1_2[[#This Row],[Sales]]/Table1_2[[#This Row],[Quantity]]</f>
        <v>12.16</v>
      </c>
      <c r="R252" t="str">
        <f>IF(Table1_2[[#This Row],[Profit]]&gt;0, "YES", "NO")</f>
        <v>YES</v>
      </c>
      <c r="S252" t="str">
        <f>TEXT(Table1_2[[#This Row],[Order Date]], "MMM")</f>
        <v>Oct</v>
      </c>
      <c r="T252" t="str">
        <f>TEXT(Table1_2[[#This Row],[Ship Date]],"YYYY")</f>
        <v>2022</v>
      </c>
      <c r="U252" s="1">
        <f>MONTH(1&amp;Table1_2[[#This Row],[Month]])</f>
        <v>10</v>
      </c>
    </row>
    <row r="253" spans="1:21" x14ac:dyDescent="0.3">
      <c r="A253" t="s">
        <v>266</v>
      </c>
      <c r="B253" s="2">
        <v>44592</v>
      </c>
      <c r="C253" s="2">
        <v>44418</v>
      </c>
      <c r="D253" t="s">
        <v>352</v>
      </c>
      <c r="E253" t="s">
        <v>355</v>
      </c>
      <c r="F253" t="s">
        <v>364</v>
      </c>
      <c r="G253" s="1" t="s">
        <v>369</v>
      </c>
      <c r="H253" s="1" t="s">
        <v>378</v>
      </c>
      <c r="I253" s="1" t="s">
        <v>383</v>
      </c>
      <c r="J253" t="s">
        <v>386</v>
      </c>
      <c r="K253" t="str">
        <f ca="1">TRIM(Table1_2[[#This Row],[Sub-Category]])</f>
        <v>Phones</v>
      </c>
      <c r="L253" s="5">
        <v>884.78</v>
      </c>
      <c r="M253">
        <v>1</v>
      </c>
      <c r="N253" s="17">
        <v>0.54</v>
      </c>
      <c r="O253" s="5">
        <v>41.48</v>
      </c>
      <c r="P253" s="8">
        <f>IF(Table1_2[[#This Row],[Sales]]=0, 0,Table1_2[[#This Row],[Profit]]/Table1_2[[#This Row],[Sales]])</f>
        <v>4.6881710707746556E-2</v>
      </c>
      <c r="Q253" s="7">
        <f>Table1_2[[#This Row],[Sales]]/Table1_2[[#This Row],[Quantity]]</f>
        <v>884.78</v>
      </c>
      <c r="R253" t="str">
        <f>IF(Table1_2[[#This Row],[Profit]]&gt;0, "YES", "NO")</f>
        <v>YES</v>
      </c>
      <c r="S253" t="str">
        <f>TEXT(Table1_2[[#This Row],[Order Date]], "MMM")</f>
        <v>Jan</v>
      </c>
      <c r="T253" t="str">
        <f>TEXT(Table1_2[[#This Row],[Ship Date]],"YYYY")</f>
        <v>2021</v>
      </c>
      <c r="U253" s="1">
        <f>MONTH(1&amp;Table1_2[[#This Row],[Month]])</f>
        <v>1</v>
      </c>
    </row>
    <row r="254" spans="1:21" x14ac:dyDescent="0.3">
      <c r="A254" t="s">
        <v>267</v>
      </c>
      <c r="B254" s="2">
        <v>44357</v>
      </c>
      <c r="C254" s="2">
        <v>44671</v>
      </c>
      <c r="D254" t="s">
        <v>349</v>
      </c>
      <c r="E254" t="s">
        <v>358</v>
      </c>
      <c r="F254" t="s">
        <v>362</v>
      </c>
      <c r="G254" s="1" t="s">
        <v>415</v>
      </c>
      <c r="H254" s="1" t="s">
        <v>376</v>
      </c>
      <c r="I254" s="1" t="s">
        <v>384</v>
      </c>
      <c r="J254" t="s">
        <v>388</v>
      </c>
      <c r="K254" t="str">
        <f ca="1">TRIM(Table1_2[[#This Row],[Sub-Category]])</f>
        <v>NA</v>
      </c>
      <c r="L254" s="5">
        <v>1550.31</v>
      </c>
      <c r="M254">
        <v>7</v>
      </c>
      <c r="N254" s="17">
        <v>0.28999999999999998</v>
      </c>
      <c r="O254" s="5">
        <v>523.07000000000005</v>
      </c>
      <c r="P254" s="8">
        <f>IF(Table1_2[[#This Row],[Sales]]=0, 0,Table1_2[[#This Row],[Profit]]/Table1_2[[#This Row],[Sales]])</f>
        <v>0.33739703672168797</v>
      </c>
      <c r="Q254" s="7">
        <f>Table1_2[[#This Row],[Sales]]/Table1_2[[#This Row],[Quantity]]</f>
        <v>221.47285714285712</v>
      </c>
      <c r="R254" t="str">
        <f>IF(Table1_2[[#This Row],[Profit]]&gt;0, "YES", "NO")</f>
        <v>YES</v>
      </c>
      <c r="S254" t="str">
        <f>TEXT(Table1_2[[#This Row],[Order Date]], "MMM")</f>
        <v>Jun</v>
      </c>
      <c r="T254" t="str">
        <f>TEXT(Table1_2[[#This Row],[Ship Date]],"YYYY")</f>
        <v>2022</v>
      </c>
      <c r="U254" s="1">
        <f>MONTH(1&amp;Table1_2[[#This Row],[Month]])</f>
        <v>6</v>
      </c>
    </row>
    <row r="255" spans="1:21" x14ac:dyDescent="0.3">
      <c r="A255" t="s">
        <v>268</v>
      </c>
      <c r="B255" s="2">
        <v>44879</v>
      </c>
      <c r="C255" s="2">
        <v>44854</v>
      </c>
      <c r="D255" t="s">
        <v>350</v>
      </c>
      <c r="E255" t="s">
        <v>356</v>
      </c>
      <c r="F255" t="s">
        <v>362</v>
      </c>
      <c r="G255" s="1" t="s">
        <v>366</v>
      </c>
      <c r="H255" s="1" t="s">
        <v>375</v>
      </c>
      <c r="I255" s="1" t="s">
        <v>383</v>
      </c>
      <c r="J255" t="s">
        <v>387</v>
      </c>
      <c r="K255" t="str">
        <f ca="1">TRIM(Table1_2[[#This Row],[Sub-Category]])</f>
        <v>Tables</v>
      </c>
      <c r="L255" s="5">
        <v>1305</v>
      </c>
      <c r="M255">
        <v>5</v>
      </c>
      <c r="N255" s="17">
        <v>0.49</v>
      </c>
      <c r="O255" s="5">
        <v>373.9</v>
      </c>
      <c r="P255" s="8">
        <f>IF(Table1_2[[#This Row],[Sales]]=0, 0,Table1_2[[#This Row],[Profit]]/Table1_2[[#This Row],[Sales]])</f>
        <v>0.28651340996168578</v>
      </c>
      <c r="Q255" s="7">
        <f>Table1_2[[#This Row],[Sales]]/Table1_2[[#This Row],[Quantity]]</f>
        <v>261</v>
      </c>
      <c r="R255" t="str">
        <f>IF(Table1_2[[#This Row],[Profit]]&gt;0, "YES", "NO")</f>
        <v>YES</v>
      </c>
      <c r="S255" t="str">
        <f>TEXT(Table1_2[[#This Row],[Order Date]], "MMM")</f>
        <v>Nov</v>
      </c>
      <c r="T255" t="str">
        <f>TEXT(Table1_2[[#This Row],[Ship Date]],"YYYY")</f>
        <v>2022</v>
      </c>
      <c r="U255" s="1">
        <f>MONTH(1&amp;Table1_2[[#This Row],[Month]])</f>
        <v>11</v>
      </c>
    </row>
    <row r="256" spans="1:21" x14ac:dyDescent="0.3">
      <c r="A256" t="s">
        <v>269</v>
      </c>
      <c r="B256" s="2">
        <v>44665</v>
      </c>
      <c r="C256" s="2">
        <v>45144</v>
      </c>
      <c r="D256" t="s">
        <v>352</v>
      </c>
      <c r="E256" t="s">
        <v>354</v>
      </c>
      <c r="F256" t="s">
        <v>364</v>
      </c>
      <c r="G256" s="1" t="s">
        <v>370</v>
      </c>
      <c r="H256" s="1" t="s">
        <v>414</v>
      </c>
      <c r="I256" s="1" t="s">
        <v>385</v>
      </c>
      <c r="J256" t="s">
        <v>387</v>
      </c>
      <c r="K256" t="str">
        <f ca="1">TRIM(Table1_2[[#This Row],[Sub-Category]])</f>
        <v>Paper</v>
      </c>
      <c r="L256" s="5">
        <v>1407</v>
      </c>
      <c r="M256">
        <v>4</v>
      </c>
      <c r="N256" s="17">
        <v>0.14000000000000001</v>
      </c>
      <c r="O256" s="5">
        <v>496.87</v>
      </c>
      <c r="P256" s="8">
        <f>IF(Table1_2[[#This Row],[Sales]]=0, 0,Table1_2[[#This Row],[Profit]]/Table1_2[[#This Row],[Sales]])</f>
        <v>0.35314143567874912</v>
      </c>
      <c r="Q256" s="7">
        <f>Table1_2[[#This Row],[Sales]]/Table1_2[[#This Row],[Quantity]]</f>
        <v>351.75</v>
      </c>
      <c r="R256" t="str">
        <f>IF(Table1_2[[#This Row],[Profit]]&gt;0, "YES", "NO")</f>
        <v>YES</v>
      </c>
      <c r="S256" t="str">
        <f>TEXT(Table1_2[[#This Row],[Order Date]], "MMM")</f>
        <v>Apr</v>
      </c>
      <c r="T256" t="str">
        <f>TEXT(Table1_2[[#This Row],[Ship Date]],"YYYY")</f>
        <v>2023</v>
      </c>
      <c r="U256" s="1">
        <f>MONTH(1&amp;Table1_2[[#This Row],[Month]])</f>
        <v>4</v>
      </c>
    </row>
    <row r="257" spans="1:21" x14ac:dyDescent="0.3">
      <c r="A257" t="s">
        <v>270</v>
      </c>
      <c r="B257" s="2">
        <v>44346</v>
      </c>
      <c r="C257" s="2">
        <v>44487</v>
      </c>
      <c r="D257" t="s">
        <v>352</v>
      </c>
      <c r="E257" t="s">
        <v>353</v>
      </c>
      <c r="F257" t="s">
        <v>361</v>
      </c>
      <c r="G257" s="1" t="s">
        <v>365</v>
      </c>
      <c r="H257" s="1" t="s">
        <v>414</v>
      </c>
      <c r="I257" s="1" t="s">
        <v>383</v>
      </c>
      <c r="J257" t="s">
        <v>388</v>
      </c>
      <c r="K257" t="str">
        <f ca="1">TRIM(Table1_2[[#This Row],[Sub-Category]])</f>
        <v>Binders</v>
      </c>
      <c r="L257" s="5">
        <v>811.65</v>
      </c>
      <c r="M257">
        <v>8</v>
      </c>
      <c r="N257" s="17">
        <v>0.21</v>
      </c>
      <c r="O257" s="5">
        <v>443.96</v>
      </c>
      <c r="P257" s="8">
        <f>IF(Table1_2[[#This Row],[Sales]]=0, 0,Table1_2[[#This Row],[Profit]]/Table1_2[[#This Row],[Sales]])</f>
        <v>0.54698453767017807</v>
      </c>
      <c r="Q257" s="7">
        <f>Table1_2[[#This Row],[Sales]]/Table1_2[[#This Row],[Quantity]]</f>
        <v>101.45625</v>
      </c>
      <c r="R257" t="str">
        <f>IF(Table1_2[[#This Row],[Profit]]&gt;0, "YES", "NO")</f>
        <v>YES</v>
      </c>
      <c r="S257" t="str">
        <f>TEXT(Table1_2[[#This Row],[Order Date]], "MMM")</f>
        <v>May</v>
      </c>
      <c r="T257" t="str">
        <f>TEXT(Table1_2[[#This Row],[Ship Date]],"YYYY")</f>
        <v>2021</v>
      </c>
      <c r="U257" s="1">
        <f>MONTH(1&amp;Table1_2[[#This Row],[Month]])</f>
        <v>5</v>
      </c>
    </row>
    <row r="258" spans="1:21" x14ac:dyDescent="0.3">
      <c r="A258" t="s">
        <v>271</v>
      </c>
      <c r="B258" s="2">
        <v>44556</v>
      </c>
      <c r="C258" s="2">
        <v>44478</v>
      </c>
      <c r="D258" t="s">
        <v>352</v>
      </c>
      <c r="E258" t="s">
        <v>353</v>
      </c>
      <c r="F258" t="s">
        <v>361</v>
      </c>
      <c r="G258" s="1" t="s">
        <v>368</v>
      </c>
      <c r="H258" s="1" t="s">
        <v>380</v>
      </c>
      <c r="I258" s="1" t="s">
        <v>383</v>
      </c>
      <c r="J258" t="s">
        <v>388</v>
      </c>
      <c r="K258" t="str">
        <f ca="1">TRIM(Table1_2[[#This Row],[Sub-Category]])</f>
        <v>Paper</v>
      </c>
      <c r="L258" s="5">
        <v>477.54</v>
      </c>
      <c r="M258">
        <v>8</v>
      </c>
      <c r="N258" s="17">
        <v>0.05</v>
      </c>
      <c r="O258" s="5">
        <v>506.75</v>
      </c>
      <c r="P258" s="8">
        <f>IF(Table1_2[[#This Row],[Sales]]=0, 0,Table1_2[[#This Row],[Profit]]/Table1_2[[#This Row],[Sales]])</f>
        <v>1.0611676508774133</v>
      </c>
      <c r="Q258" s="7">
        <f>Table1_2[[#This Row],[Sales]]/Table1_2[[#This Row],[Quantity]]</f>
        <v>59.692500000000003</v>
      </c>
      <c r="R258" t="str">
        <f>IF(Table1_2[[#This Row],[Profit]]&gt;0, "YES", "NO")</f>
        <v>YES</v>
      </c>
      <c r="S258" t="str">
        <f>TEXT(Table1_2[[#This Row],[Order Date]], "MMM")</f>
        <v>Dec</v>
      </c>
      <c r="T258" t="str">
        <f>TEXT(Table1_2[[#This Row],[Ship Date]],"YYYY")</f>
        <v>2021</v>
      </c>
      <c r="U258" s="1">
        <f>MONTH(1&amp;Table1_2[[#This Row],[Month]])</f>
        <v>12</v>
      </c>
    </row>
    <row r="259" spans="1:21" x14ac:dyDescent="0.3">
      <c r="A259" t="s">
        <v>272</v>
      </c>
      <c r="B259" s="2">
        <v>45158</v>
      </c>
      <c r="C259" s="2">
        <v>44932</v>
      </c>
      <c r="D259" t="s">
        <v>352</v>
      </c>
      <c r="E259" t="s">
        <v>360</v>
      </c>
      <c r="F259" t="s">
        <v>361</v>
      </c>
      <c r="G259" s="1" t="s">
        <v>365</v>
      </c>
      <c r="H259" s="1" t="s">
        <v>379</v>
      </c>
      <c r="I259" s="1" t="s">
        <v>381</v>
      </c>
      <c r="J259" t="s">
        <v>386</v>
      </c>
      <c r="K259" t="str">
        <f ca="1">TRIM(Table1_2[[#This Row],[Sub-Category]])</f>
        <v>Accessories</v>
      </c>
      <c r="L259" s="5">
        <v>1068.24</v>
      </c>
      <c r="M259">
        <v>3</v>
      </c>
      <c r="N259" s="17">
        <v>0.25</v>
      </c>
      <c r="O259" s="5">
        <v>705.55</v>
      </c>
      <c r="P259" s="8">
        <f>IF(Table1_2[[#This Row],[Sales]]=0, 0,Table1_2[[#This Row],[Profit]]/Table1_2[[#This Row],[Sales]])</f>
        <v>0.66047891859507224</v>
      </c>
      <c r="Q259" s="7">
        <f>Table1_2[[#This Row],[Sales]]/Table1_2[[#This Row],[Quantity]]</f>
        <v>356.08</v>
      </c>
      <c r="R259" t="str">
        <f>IF(Table1_2[[#This Row],[Profit]]&gt;0, "YES", "NO")</f>
        <v>YES</v>
      </c>
      <c r="S259" t="str">
        <f>TEXT(Table1_2[[#This Row],[Order Date]], "MMM")</f>
        <v>Aug</v>
      </c>
      <c r="T259" t="str">
        <f>TEXT(Table1_2[[#This Row],[Ship Date]],"YYYY")</f>
        <v>2023</v>
      </c>
      <c r="U259" s="1">
        <f>MONTH(1&amp;Table1_2[[#This Row],[Month]])</f>
        <v>8</v>
      </c>
    </row>
    <row r="260" spans="1:21" x14ac:dyDescent="0.3">
      <c r="A260" t="s">
        <v>273</v>
      </c>
      <c r="B260" s="2">
        <v>44462</v>
      </c>
      <c r="C260" s="2">
        <v>44204</v>
      </c>
      <c r="D260" t="s">
        <v>349</v>
      </c>
      <c r="E260" t="s">
        <v>360</v>
      </c>
      <c r="F260" t="s">
        <v>362</v>
      </c>
      <c r="G260" s="1" t="s">
        <v>415</v>
      </c>
      <c r="H260" s="1" t="s">
        <v>414</v>
      </c>
      <c r="I260" s="1" t="s">
        <v>384</v>
      </c>
      <c r="J260" t="s">
        <v>388</v>
      </c>
      <c r="K260" t="str">
        <f ca="1">TRIM(Table1_2[[#This Row],[Sub-Category]])</f>
        <v>Paper</v>
      </c>
      <c r="L260" s="5">
        <v>416.69</v>
      </c>
      <c r="M260">
        <v>1</v>
      </c>
      <c r="N260" s="17">
        <v>0.4</v>
      </c>
      <c r="O260" s="5">
        <v>363.47</v>
      </c>
      <c r="P260" s="8">
        <f>IF(Table1_2[[#This Row],[Sales]]=0, 0,Table1_2[[#This Row],[Profit]]/Table1_2[[#This Row],[Sales]])</f>
        <v>0.87227915236746745</v>
      </c>
      <c r="Q260" s="7">
        <f>Table1_2[[#This Row],[Sales]]/Table1_2[[#This Row],[Quantity]]</f>
        <v>416.69</v>
      </c>
      <c r="R260" t="str">
        <f>IF(Table1_2[[#This Row],[Profit]]&gt;0, "YES", "NO")</f>
        <v>YES</v>
      </c>
      <c r="S260" t="str">
        <f>TEXT(Table1_2[[#This Row],[Order Date]], "MMM")</f>
        <v>Sep</v>
      </c>
      <c r="T260" t="str">
        <f>TEXT(Table1_2[[#This Row],[Ship Date]],"YYYY")</f>
        <v>2021</v>
      </c>
      <c r="U260" s="1">
        <f>MONTH(1&amp;Table1_2[[#This Row],[Month]])</f>
        <v>9</v>
      </c>
    </row>
    <row r="261" spans="1:21" x14ac:dyDescent="0.3">
      <c r="A261" t="s">
        <v>274</v>
      </c>
      <c r="B261" s="2">
        <v>44375</v>
      </c>
      <c r="C261" s="2">
        <v>44764</v>
      </c>
      <c r="D261" t="s">
        <v>351</v>
      </c>
      <c r="E261" t="s">
        <v>357</v>
      </c>
      <c r="F261" t="s">
        <v>363</v>
      </c>
      <c r="G261" s="1" t="s">
        <v>370</v>
      </c>
      <c r="H261" s="1" t="s">
        <v>415</v>
      </c>
      <c r="I261" s="1" t="s">
        <v>384</v>
      </c>
      <c r="J261" t="s">
        <v>386</v>
      </c>
      <c r="K261" t="str">
        <f ca="1">TRIM(Table1_2[[#This Row],[Sub-Category]])</f>
        <v>Chairs</v>
      </c>
      <c r="L261" s="5">
        <v>1455.2</v>
      </c>
      <c r="M261">
        <v>2</v>
      </c>
      <c r="N261" s="17">
        <v>0.5</v>
      </c>
      <c r="O261" s="5">
        <v>-132.15</v>
      </c>
      <c r="P261" s="8">
        <f>IF(Table1_2[[#This Row],[Sales]]=0, 0,Table1_2[[#This Row],[Profit]]/Table1_2[[#This Row],[Sales]])</f>
        <v>-9.0812259483232544E-2</v>
      </c>
      <c r="Q261" s="7">
        <f>Table1_2[[#This Row],[Sales]]/Table1_2[[#This Row],[Quantity]]</f>
        <v>727.6</v>
      </c>
      <c r="R261" t="str">
        <f>IF(Table1_2[[#This Row],[Profit]]&gt;0, "YES", "NO")</f>
        <v>NO</v>
      </c>
      <c r="S261" t="str">
        <f>TEXT(Table1_2[[#This Row],[Order Date]], "MMM")</f>
        <v>Jun</v>
      </c>
      <c r="T261" t="str">
        <f>TEXT(Table1_2[[#This Row],[Ship Date]],"YYYY")</f>
        <v>2022</v>
      </c>
      <c r="U261" s="1">
        <f>MONTH(1&amp;Table1_2[[#This Row],[Month]])</f>
        <v>6</v>
      </c>
    </row>
    <row r="262" spans="1:21" x14ac:dyDescent="0.3">
      <c r="A262" t="s">
        <v>275</v>
      </c>
      <c r="B262" s="2">
        <v>44878</v>
      </c>
      <c r="C262" s="2">
        <v>44943</v>
      </c>
      <c r="D262" t="s">
        <v>351</v>
      </c>
      <c r="E262" t="s">
        <v>360</v>
      </c>
      <c r="F262" t="s">
        <v>362</v>
      </c>
      <c r="G262" s="1" t="s">
        <v>369</v>
      </c>
      <c r="H262" s="1" t="s">
        <v>379</v>
      </c>
      <c r="I262" s="1" t="s">
        <v>385</v>
      </c>
      <c r="J262" t="s">
        <v>387</v>
      </c>
      <c r="K262" t="str">
        <f ca="1">TRIM(Table1_2[[#This Row],[Sub-Category]])</f>
        <v>Accessories</v>
      </c>
      <c r="L262" s="5">
        <v>401.96</v>
      </c>
      <c r="M262">
        <v>1</v>
      </c>
      <c r="N262" s="17">
        <v>0.34</v>
      </c>
      <c r="O262" s="5">
        <v>70.83</v>
      </c>
      <c r="P262" s="8">
        <f>IF(Table1_2[[#This Row],[Sales]]=0, 0,Table1_2[[#This Row],[Profit]]/Table1_2[[#This Row],[Sales]])</f>
        <v>0.17621156333963578</v>
      </c>
      <c r="Q262" s="7">
        <f>Table1_2[[#This Row],[Sales]]/Table1_2[[#This Row],[Quantity]]</f>
        <v>401.96</v>
      </c>
      <c r="R262" t="str">
        <f>IF(Table1_2[[#This Row],[Profit]]&gt;0, "YES", "NO")</f>
        <v>YES</v>
      </c>
      <c r="S262" t="str">
        <f>TEXT(Table1_2[[#This Row],[Order Date]], "MMM")</f>
        <v>Nov</v>
      </c>
      <c r="T262" t="str">
        <f>TEXT(Table1_2[[#This Row],[Ship Date]],"YYYY")</f>
        <v>2023</v>
      </c>
      <c r="U262" s="1">
        <f>MONTH(1&amp;Table1_2[[#This Row],[Month]])</f>
        <v>11</v>
      </c>
    </row>
    <row r="263" spans="1:21" x14ac:dyDescent="0.3">
      <c r="A263" t="s">
        <v>276</v>
      </c>
      <c r="B263" s="2">
        <v>44396</v>
      </c>
      <c r="C263" s="2">
        <v>44748</v>
      </c>
      <c r="D263" t="s">
        <v>349</v>
      </c>
      <c r="E263" t="s">
        <v>354</v>
      </c>
      <c r="F263" t="s">
        <v>361</v>
      </c>
      <c r="G263" s="1" t="s">
        <v>370</v>
      </c>
      <c r="H263" s="1" t="s">
        <v>377</v>
      </c>
      <c r="I263" s="1" t="s">
        <v>372</v>
      </c>
      <c r="J263" t="s">
        <v>386</v>
      </c>
      <c r="K263" t="str">
        <f ca="1">TRIM(Table1_2[[#This Row],[Sub-Category]])</f>
        <v>Tables</v>
      </c>
      <c r="L263" s="5">
        <v>589.61</v>
      </c>
      <c r="M263">
        <v>9</v>
      </c>
      <c r="N263" s="17">
        <v>0.38</v>
      </c>
      <c r="O263" s="5">
        <v>508</v>
      </c>
      <c r="P263" s="8">
        <f>IF(Table1_2[[#This Row],[Sales]]=0, 0,Table1_2[[#This Row],[Profit]]/Table1_2[[#This Row],[Sales]])</f>
        <v>0.86158647241396857</v>
      </c>
      <c r="Q263" s="7">
        <f>Table1_2[[#This Row],[Sales]]/Table1_2[[#This Row],[Quantity]]</f>
        <v>65.512222222222221</v>
      </c>
      <c r="R263" t="str">
        <f>IF(Table1_2[[#This Row],[Profit]]&gt;0, "YES", "NO")</f>
        <v>YES</v>
      </c>
      <c r="S263" t="str">
        <f>TEXT(Table1_2[[#This Row],[Order Date]], "MMM")</f>
        <v>Jul</v>
      </c>
      <c r="T263" t="str">
        <f>TEXT(Table1_2[[#This Row],[Ship Date]],"YYYY")</f>
        <v>2022</v>
      </c>
      <c r="U263" s="1">
        <f>MONTH(1&amp;Table1_2[[#This Row],[Month]])</f>
        <v>7</v>
      </c>
    </row>
    <row r="264" spans="1:21" x14ac:dyDescent="0.3">
      <c r="A264" t="s">
        <v>277</v>
      </c>
      <c r="B264" s="2">
        <v>45116</v>
      </c>
      <c r="C264" s="2">
        <v>44581</v>
      </c>
      <c r="D264" t="s">
        <v>350</v>
      </c>
      <c r="E264" t="s">
        <v>359</v>
      </c>
      <c r="F264" t="s">
        <v>361</v>
      </c>
      <c r="G264" s="1" t="s">
        <v>365</v>
      </c>
      <c r="H264" s="1" t="s">
        <v>380</v>
      </c>
      <c r="I264" s="1" t="s">
        <v>381</v>
      </c>
      <c r="J264" t="s">
        <v>387</v>
      </c>
      <c r="K264" t="str">
        <f ca="1">TRIM(Table1_2[[#This Row],[Sub-Category]])</f>
        <v>Binders</v>
      </c>
      <c r="L264" s="5">
        <v>1018</v>
      </c>
      <c r="M264">
        <v>6</v>
      </c>
      <c r="N264" s="17">
        <v>0.11</v>
      </c>
      <c r="O264" s="5">
        <v>294</v>
      </c>
      <c r="P264" s="8">
        <f>IF(Table1_2[[#This Row],[Sales]]=0, 0,Table1_2[[#This Row],[Profit]]/Table1_2[[#This Row],[Sales]])</f>
        <v>0.28880157170923382</v>
      </c>
      <c r="Q264" s="7">
        <f>Table1_2[[#This Row],[Sales]]/Table1_2[[#This Row],[Quantity]]</f>
        <v>169.66666666666666</v>
      </c>
      <c r="R264" t="str">
        <f>IF(Table1_2[[#This Row],[Profit]]&gt;0, "YES", "NO")</f>
        <v>YES</v>
      </c>
      <c r="S264" t="str">
        <f>TEXT(Table1_2[[#This Row],[Order Date]], "MMM")</f>
        <v>Jul</v>
      </c>
      <c r="T264" t="str">
        <f>TEXT(Table1_2[[#This Row],[Ship Date]],"YYYY")</f>
        <v>2022</v>
      </c>
      <c r="U264" s="1">
        <f>MONTH(1&amp;Table1_2[[#This Row],[Month]])</f>
        <v>7</v>
      </c>
    </row>
    <row r="265" spans="1:21" x14ac:dyDescent="0.3">
      <c r="A265" t="s">
        <v>278</v>
      </c>
      <c r="B265" s="2">
        <v>45055</v>
      </c>
      <c r="C265" s="2">
        <v>45026</v>
      </c>
      <c r="D265" t="s">
        <v>352</v>
      </c>
      <c r="E265" t="s">
        <v>359</v>
      </c>
      <c r="F265" t="s">
        <v>362</v>
      </c>
      <c r="G265" s="1" t="s">
        <v>365</v>
      </c>
      <c r="H265" s="1" t="s">
        <v>415</v>
      </c>
      <c r="I265" s="1" t="s">
        <v>382</v>
      </c>
      <c r="J265" t="s">
        <v>387</v>
      </c>
      <c r="K265" t="str">
        <f ca="1">TRIM(Table1_2[[#This Row],[Sub-Category]])</f>
        <v>Tables</v>
      </c>
      <c r="L265" s="5">
        <v>978.55</v>
      </c>
      <c r="M265">
        <v>7</v>
      </c>
      <c r="N265" s="17">
        <v>0.02</v>
      </c>
      <c r="O265" s="5">
        <v>348.55</v>
      </c>
      <c r="P265" s="8">
        <f>IF(Table1_2[[#This Row],[Sales]]=0, 0,Table1_2[[#This Row],[Profit]]/Table1_2[[#This Row],[Sales]])</f>
        <v>0.35619028153901183</v>
      </c>
      <c r="Q265" s="7">
        <f>Table1_2[[#This Row],[Sales]]/Table1_2[[#This Row],[Quantity]]</f>
        <v>139.79285714285714</v>
      </c>
      <c r="R265" t="str">
        <f>IF(Table1_2[[#This Row],[Profit]]&gt;0, "YES", "NO")</f>
        <v>YES</v>
      </c>
      <c r="S265" t="str">
        <f>TEXT(Table1_2[[#This Row],[Order Date]], "MMM")</f>
        <v>May</v>
      </c>
      <c r="T265" t="str">
        <f>TEXT(Table1_2[[#This Row],[Ship Date]],"YYYY")</f>
        <v>2023</v>
      </c>
      <c r="U265" s="1">
        <f>MONTH(1&amp;Table1_2[[#This Row],[Month]])</f>
        <v>5</v>
      </c>
    </row>
    <row r="266" spans="1:21" x14ac:dyDescent="0.3">
      <c r="A266" t="s">
        <v>279</v>
      </c>
      <c r="B266" s="2">
        <v>45180</v>
      </c>
      <c r="C266" s="2">
        <v>44569</v>
      </c>
      <c r="D266" t="s">
        <v>349</v>
      </c>
      <c r="E266" t="s">
        <v>359</v>
      </c>
      <c r="F266" t="s">
        <v>361</v>
      </c>
      <c r="G266" s="1" t="s">
        <v>365</v>
      </c>
      <c r="H266" s="1" t="s">
        <v>380</v>
      </c>
      <c r="I266" s="1" t="s">
        <v>385</v>
      </c>
      <c r="J266" t="s">
        <v>386</v>
      </c>
      <c r="K266" t="str">
        <f ca="1">TRIM(Table1_2[[#This Row],[Sub-Category]])</f>
        <v>Paper</v>
      </c>
      <c r="L266" s="5">
        <v>1205.69</v>
      </c>
      <c r="M266">
        <v>3</v>
      </c>
      <c r="N266" s="17">
        <v>0.48</v>
      </c>
      <c r="O266" s="5">
        <v>396.58</v>
      </c>
      <c r="P266" s="8">
        <f>IF(Table1_2[[#This Row],[Sales]]=0, 0,Table1_2[[#This Row],[Profit]]/Table1_2[[#This Row],[Sales]])</f>
        <v>0.32892368685151241</v>
      </c>
      <c r="Q266" s="7">
        <f>Table1_2[[#This Row],[Sales]]/Table1_2[[#This Row],[Quantity]]</f>
        <v>401.8966666666667</v>
      </c>
      <c r="R266" t="str">
        <f>IF(Table1_2[[#This Row],[Profit]]&gt;0, "YES", "NO")</f>
        <v>YES</v>
      </c>
      <c r="S266" t="str">
        <f>TEXT(Table1_2[[#This Row],[Order Date]], "MMM")</f>
        <v>Sep</v>
      </c>
      <c r="T266" t="str">
        <f>TEXT(Table1_2[[#This Row],[Ship Date]],"YYYY")</f>
        <v>2022</v>
      </c>
      <c r="U266" s="1">
        <f>MONTH(1&amp;Table1_2[[#This Row],[Month]])</f>
        <v>9</v>
      </c>
    </row>
    <row r="267" spans="1:21" x14ac:dyDescent="0.3">
      <c r="A267" t="s">
        <v>280</v>
      </c>
      <c r="B267" s="2">
        <v>45109</v>
      </c>
      <c r="C267" s="2">
        <v>44908</v>
      </c>
      <c r="D267" t="s">
        <v>349</v>
      </c>
      <c r="E267" t="s">
        <v>357</v>
      </c>
      <c r="F267" t="s">
        <v>361</v>
      </c>
      <c r="G267" s="1" t="s">
        <v>369</v>
      </c>
      <c r="H267" s="1" t="s">
        <v>376</v>
      </c>
      <c r="I267" s="1" t="s">
        <v>382</v>
      </c>
      <c r="J267" t="s">
        <v>386</v>
      </c>
      <c r="K267" t="str">
        <f ca="1">TRIM(Table1_2[[#This Row],[Sub-Category]])</f>
        <v>NA</v>
      </c>
      <c r="L267" s="5">
        <v>881</v>
      </c>
      <c r="M267">
        <v>8</v>
      </c>
      <c r="N267" s="17">
        <v>0.1</v>
      </c>
      <c r="O267" s="5">
        <v>182.63</v>
      </c>
      <c r="P267" s="8">
        <f>IF(Table1_2[[#This Row],[Sales]]=0, 0,Table1_2[[#This Row],[Profit]]/Table1_2[[#This Row],[Sales]])</f>
        <v>0.20729852440408625</v>
      </c>
      <c r="Q267" s="7">
        <f>Table1_2[[#This Row],[Sales]]/Table1_2[[#This Row],[Quantity]]</f>
        <v>110.125</v>
      </c>
      <c r="R267" t="str">
        <f>IF(Table1_2[[#This Row],[Profit]]&gt;0, "YES", "NO")</f>
        <v>YES</v>
      </c>
      <c r="S267" t="str">
        <f>TEXT(Table1_2[[#This Row],[Order Date]], "MMM")</f>
        <v>Jul</v>
      </c>
      <c r="T267" t="str">
        <f>TEXT(Table1_2[[#This Row],[Ship Date]],"YYYY")</f>
        <v>2022</v>
      </c>
      <c r="U267" s="1">
        <f>MONTH(1&amp;Table1_2[[#This Row],[Month]])</f>
        <v>7</v>
      </c>
    </row>
    <row r="268" spans="1:21" x14ac:dyDescent="0.3">
      <c r="A268" t="s">
        <v>281</v>
      </c>
      <c r="B268" s="2">
        <v>44440</v>
      </c>
      <c r="C268" s="2">
        <v>44662</v>
      </c>
      <c r="D268" t="s">
        <v>349</v>
      </c>
      <c r="E268" t="s">
        <v>359</v>
      </c>
      <c r="F268" t="s">
        <v>363</v>
      </c>
      <c r="G268" s="1" t="s">
        <v>373</v>
      </c>
      <c r="H268" s="1" t="s">
        <v>379</v>
      </c>
      <c r="I268" s="1" t="s">
        <v>383</v>
      </c>
      <c r="J268" t="s">
        <v>386</v>
      </c>
      <c r="K268" t="str">
        <f ca="1">TRIM(Table1_2[[#This Row],[Sub-Category]])</f>
        <v>Accessories</v>
      </c>
      <c r="L268" s="5">
        <v>1839.75</v>
      </c>
      <c r="M268">
        <v>7</v>
      </c>
      <c r="N268" s="17">
        <v>0.05</v>
      </c>
      <c r="O268" s="5">
        <v>573.9</v>
      </c>
      <c r="P268" s="8">
        <f>IF(Table1_2[[#This Row],[Sales]]=0, 0,Table1_2[[#This Row],[Profit]]/Table1_2[[#This Row],[Sales]])</f>
        <v>0.31194455768446799</v>
      </c>
      <c r="Q268" s="7">
        <f>Table1_2[[#This Row],[Sales]]/Table1_2[[#This Row],[Quantity]]</f>
        <v>262.82142857142856</v>
      </c>
      <c r="R268" t="str">
        <f>IF(Table1_2[[#This Row],[Profit]]&gt;0, "YES", "NO")</f>
        <v>YES</v>
      </c>
      <c r="S268" t="str">
        <f>TEXT(Table1_2[[#This Row],[Order Date]], "MMM")</f>
        <v>Sep</v>
      </c>
      <c r="T268" t="str">
        <f>TEXT(Table1_2[[#This Row],[Ship Date]],"YYYY")</f>
        <v>2022</v>
      </c>
      <c r="U268" s="1">
        <f>MONTH(1&amp;Table1_2[[#This Row],[Month]])</f>
        <v>9</v>
      </c>
    </row>
    <row r="269" spans="1:21" x14ac:dyDescent="0.3">
      <c r="A269" t="s">
        <v>282</v>
      </c>
      <c r="B269" s="2">
        <v>44204</v>
      </c>
      <c r="C269" s="2">
        <v>44224</v>
      </c>
      <c r="D269" t="s">
        <v>352</v>
      </c>
      <c r="E269" t="s">
        <v>360</v>
      </c>
      <c r="F269" t="s">
        <v>364</v>
      </c>
      <c r="G269" s="1" t="s">
        <v>415</v>
      </c>
      <c r="H269" s="1" t="s">
        <v>414</v>
      </c>
      <c r="I269" s="1" t="s">
        <v>384</v>
      </c>
      <c r="J269" t="s">
        <v>388</v>
      </c>
      <c r="K269" t="str">
        <f ca="1">TRIM(Table1_2[[#This Row],[Sub-Category]])</f>
        <v>Binders</v>
      </c>
      <c r="L269" s="5">
        <v>1681.47</v>
      </c>
      <c r="M269">
        <v>7</v>
      </c>
      <c r="N269" s="17">
        <v>0.56000000000000005</v>
      </c>
      <c r="O269" s="5">
        <v>523.53</v>
      </c>
      <c r="P269" s="8">
        <f>IF(Table1_2[[#This Row],[Sales]]=0, 0,Table1_2[[#This Row],[Profit]]/Table1_2[[#This Row],[Sales]])</f>
        <v>0.3113525665043087</v>
      </c>
      <c r="Q269" s="7">
        <f>Table1_2[[#This Row],[Sales]]/Table1_2[[#This Row],[Quantity]]</f>
        <v>240.21</v>
      </c>
      <c r="R269" t="str">
        <f>IF(Table1_2[[#This Row],[Profit]]&gt;0, "YES", "NO")</f>
        <v>YES</v>
      </c>
      <c r="S269" t="str">
        <f>TEXT(Table1_2[[#This Row],[Order Date]], "MMM")</f>
        <v>Jan</v>
      </c>
      <c r="T269" t="str">
        <f>TEXT(Table1_2[[#This Row],[Ship Date]],"YYYY")</f>
        <v>2021</v>
      </c>
      <c r="U269" s="1">
        <f>MONTH(1&amp;Table1_2[[#This Row],[Month]])</f>
        <v>1</v>
      </c>
    </row>
    <row r="270" spans="1:21" x14ac:dyDescent="0.3">
      <c r="A270" t="s">
        <v>283</v>
      </c>
      <c r="B270" s="2">
        <v>44539</v>
      </c>
      <c r="C270" s="2">
        <v>44728</v>
      </c>
      <c r="D270" t="s">
        <v>350</v>
      </c>
      <c r="E270" t="s">
        <v>360</v>
      </c>
      <c r="F270" t="s">
        <v>362</v>
      </c>
      <c r="G270" s="1" t="s">
        <v>366</v>
      </c>
      <c r="H270" s="1" t="s">
        <v>377</v>
      </c>
      <c r="I270" s="1" t="s">
        <v>384</v>
      </c>
      <c r="J270" t="s">
        <v>387</v>
      </c>
      <c r="K270" t="str">
        <f ca="1">TRIM(Table1_2[[#This Row],[Sub-Category]])</f>
        <v>Accessories</v>
      </c>
      <c r="L270" s="5">
        <v>1759.44</v>
      </c>
      <c r="M270">
        <v>5</v>
      </c>
      <c r="N270" s="17">
        <v>0.57999999999999996</v>
      </c>
      <c r="O270" s="5">
        <v>514.29999999999995</v>
      </c>
      <c r="P270" s="8">
        <f>IF(Table1_2[[#This Row],[Sales]]=0, 0,Table1_2[[#This Row],[Profit]]/Table1_2[[#This Row],[Sales]])</f>
        <v>0.29230891647342333</v>
      </c>
      <c r="Q270" s="7">
        <f>Table1_2[[#This Row],[Sales]]/Table1_2[[#This Row],[Quantity]]</f>
        <v>351.88800000000003</v>
      </c>
      <c r="R270" t="str">
        <f>IF(Table1_2[[#This Row],[Profit]]&gt;0, "YES", "NO")</f>
        <v>YES</v>
      </c>
      <c r="S270" t="str">
        <f>TEXT(Table1_2[[#This Row],[Order Date]], "MMM")</f>
        <v>Dec</v>
      </c>
      <c r="T270" t="str">
        <f>TEXT(Table1_2[[#This Row],[Ship Date]],"YYYY")</f>
        <v>2022</v>
      </c>
      <c r="U270" s="1">
        <f>MONTH(1&amp;Table1_2[[#This Row],[Month]])</f>
        <v>12</v>
      </c>
    </row>
    <row r="271" spans="1:21" x14ac:dyDescent="0.3">
      <c r="A271" t="s">
        <v>284</v>
      </c>
      <c r="B271" s="2">
        <v>44666</v>
      </c>
      <c r="C271" s="2">
        <v>44247</v>
      </c>
      <c r="D271" t="s">
        <v>350</v>
      </c>
      <c r="E271" t="s">
        <v>358</v>
      </c>
      <c r="F271" t="s">
        <v>363</v>
      </c>
      <c r="G271" s="1" t="s">
        <v>365</v>
      </c>
      <c r="H271" s="1" t="s">
        <v>378</v>
      </c>
      <c r="I271" s="1" t="s">
        <v>384</v>
      </c>
      <c r="J271" t="s">
        <v>387</v>
      </c>
      <c r="K271" t="str">
        <f ca="1">TRIM(Table1_2[[#This Row],[Sub-Category]])</f>
        <v>NA</v>
      </c>
      <c r="L271" s="5">
        <v>1262.74</v>
      </c>
      <c r="M271">
        <v>7</v>
      </c>
      <c r="N271" s="17">
        <v>0.37</v>
      </c>
      <c r="O271" s="5">
        <v>515.30999999999995</v>
      </c>
      <c r="P271" s="8">
        <f>IF(Table1_2[[#This Row],[Sales]]=0, 0,Table1_2[[#This Row],[Profit]]/Table1_2[[#This Row],[Sales]])</f>
        <v>0.40808875936455641</v>
      </c>
      <c r="Q271" s="7">
        <f>Table1_2[[#This Row],[Sales]]/Table1_2[[#This Row],[Quantity]]</f>
        <v>180.39142857142858</v>
      </c>
      <c r="R271" t="str">
        <f>IF(Table1_2[[#This Row],[Profit]]&gt;0, "YES", "NO")</f>
        <v>YES</v>
      </c>
      <c r="S271" t="str">
        <f>TEXT(Table1_2[[#This Row],[Order Date]], "MMM")</f>
        <v>Apr</v>
      </c>
      <c r="T271" t="str">
        <f>TEXT(Table1_2[[#This Row],[Ship Date]],"YYYY")</f>
        <v>2021</v>
      </c>
      <c r="U271" s="1">
        <f>MONTH(1&amp;Table1_2[[#This Row],[Month]])</f>
        <v>4</v>
      </c>
    </row>
    <row r="272" spans="1:21" x14ac:dyDescent="0.3">
      <c r="A272" t="s">
        <v>285</v>
      </c>
      <c r="B272" s="2">
        <v>45076</v>
      </c>
      <c r="C272" s="2">
        <v>45128</v>
      </c>
      <c r="D272" t="s">
        <v>351</v>
      </c>
      <c r="E272" t="s">
        <v>359</v>
      </c>
      <c r="F272" t="s">
        <v>364</v>
      </c>
      <c r="G272" s="1" t="s">
        <v>365</v>
      </c>
      <c r="H272" s="1" t="s">
        <v>377</v>
      </c>
      <c r="I272" s="1" t="s">
        <v>372</v>
      </c>
      <c r="J272" t="s">
        <v>387</v>
      </c>
      <c r="K272" t="str">
        <f ca="1">TRIM(Table1_2[[#This Row],[Sub-Category]])</f>
        <v>NA</v>
      </c>
      <c r="L272" s="5">
        <v>1273.67</v>
      </c>
      <c r="M272">
        <v>5</v>
      </c>
      <c r="N272" s="17">
        <v>0.23</v>
      </c>
      <c r="O272" s="5">
        <v>690.36</v>
      </c>
      <c r="P272" s="8">
        <f>IF(Table1_2[[#This Row],[Sales]]=0, 0,Table1_2[[#This Row],[Profit]]/Table1_2[[#This Row],[Sales]])</f>
        <v>0.54202422919594551</v>
      </c>
      <c r="Q272" s="7">
        <f>Table1_2[[#This Row],[Sales]]/Table1_2[[#This Row],[Quantity]]</f>
        <v>254.73400000000001</v>
      </c>
      <c r="R272" t="str">
        <f>IF(Table1_2[[#This Row],[Profit]]&gt;0, "YES", "NO")</f>
        <v>YES</v>
      </c>
      <c r="S272" t="str">
        <f>TEXT(Table1_2[[#This Row],[Order Date]], "MMM")</f>
        <v>May</v>
      </c>
      <c r="T272" t="str">
        <f>TEXT(Table1_2[[#This Row],[Ship Date]],"YYYY")</f>
        <v>2023</v>
      </c>
      <c r="U272" s="1">
        <f>MONTH(1&amp;Table1_2[[#This Row],[Month]])</f>
        <v>5</v>
      </c>
    </row>
    <row r="273" spans="1:21" x14ac:dyDescent="0.3">
      <c r="A273" t="s">
        <v>286</v>
      </c>
      <c r="B273" s="2">
        <v>44930</v>
      </c>
      <c r="C273" s="2">
        <v>44799</v>
      </c>
      <c r="D273" t="s">
        <v>349</v>
      </c>
      <c r="E273" t="s">
        <v>357</v>
      </c>
      <c r="F273" t="s">
        <v>363</v>
      </c>
      <c r="G273" s="1" t="s">
        <v>367</v>
      </c>
      <c r="H273" s="1" t="s">
        <v>380</v>
      </c>
      <c r="I273" s="1" t="s">
        <v>372</v>
      </c>
      <c r="J273" t="s">
        <v>388</v>
      </c>
      <c r="K273" t="str">
        <f ca="1">TRIM(Table1_2[[#This Row],[Sub-Category]])</f>
        <v>Binders</v>
      </c>
      <c r="L273" s="5">
        <v>1222.31</v>
      </c>
      <c r="M273">
        <v>4</v>
      </c>
      <c r="N273" s="17">
        <v>0.5</v>
      </c>
      <c r="O273" s="5">
        <v>395</v>
      </c>
      <c r="P273" s="8">
        <f>IF(Table1_2[[#This Row],[Sales]]=0, 0,Table1_2[[#This Row],[Profit]]/Table1_2[[#This Row],[Sales]])</f>
        <v>0.3231586095180437</v>
      </c>
      <c r="Q273" s="7">
        <f>Table1_2[[#This Row],[Sales]]/Table1_2[[#This Row],[Quantity]]</f>
        <v>305.57749999999999</v>
      </c>
      <c r="R273" t="str">
        <f>IF(Table1_2[[#This Row],[Profit]]&gt;0, "YES", "NO")</f>
        <v>YES</v>
      </c>
      <c r="S273" t="str">
        <f>TEXT(Table1_2[[#This Row],[Order Date]], "MMM")</f>
        <v>Jan</v>
      </c>
      <c r="T273" t="str">
        <f>TEXT(Table1_2[[#This Row],[Ship Date]],"YYYY")</f>
        <v>2022</v>
      </c>
      <c r="U273" s="1">
        <f>MONTH(1&amp;Table1_2[[#This Row],[Month]])</f>
        <v>1</v>
      </c>
    </row>
    <row r="274" spans="1:21" x14ac:dyDescent="0.3">
      <c r="A274" t="s">
        <v>287</v>
      </c>
      <c r="B274" s="2">
        <v>44752</v>
      </c>
      <c r="C274" s="2">
        <v>44570</v>
      </c>
      <c r="D274" t="s">
        <v>349</v>
      </c>
      <c r="E274" t="s">
        <v>354</v>
      </c>
      <c r="F274" t="s">
        <v>362</v>
      </c>
      <c r="G274" s="1" t="s">
        <v>370</v>
      </c>
      <c r="H274" s="1" t="s">
        <v>377</v>
      </c>
      <c r="I274" s="1" t="s">
        <v>385</v>
      </c>
      <c r="J274" t="s">
        <v>387</v>
      </c>
      <c r="K274" t="str">
        <f ca="1">TRIM(Table1_2[[#This Row],[Sub-Category]])</f>
        <v>Paper</v>
      </c>
      <c r="L274" s="5">
        <v>875</v>
      </c>
      <c r="M274">
        <v>6</v>
      </c>
      <c r="N274" s="17">
        <v>0.12</v>
      </c>
      <c r="O274" s="5">
        <v>767.07</v>
      </c>
      <c r="P274" s="8">
        <f>IF(Table1_2[[#This Row],[Sales]]=0, 0,Table1_2[[#This Row],[Profit]]/Table1_2[[#This Row],[Sales]])</f>
        <v>0.87665142857142864</v>
      </c>
      <c r="Q274" s="7">
        <f>Table1_2[[#This Row],[Sales]]/Table1_2[[#This Row],[Quantity]]</f>
        <v>145.83333333333334</v>
      </c>
      <c r="R274" t="str">
        <f>IF(Table1_2[[#This Row],[Profit]]&gt;0, "YES", "NO")</f>
        <v>YES</v>
      </c>
      <c r="S274" t="str">
        <f>TEXT(Table1_2[[#This Row],[Order Date]], "MMM")</f>
        <v>Jul</v>
      </c>
      <c r="T274" t="str">
        <f>TEXT(Table1_2[[#This Row],[Ship Date]],"YYYY")</f>
        <v>2022</v>
      </c>
      <c r="U274" s="1">
        <f>MONTH(1&amp;Table1_2[[#This Row],[Month]])</f>
        <v>7</v>
      </c>
    </row>
    <row r="275" spans="1:21" x14ac:dyDescent="0.3">
      <c r="A275" t="s">
        <v>288</v>
      </c>
      <c r="B275" s="2">
        <v>45075</v>
      </c>
      <c r="C275" s="2">
        <v>44625</v>
      </c>
      <c r="D275" t="s">
        <v>349</v>
      </c>
      <c r="E275" t="s">
        <v>356</v>
      </c>
      <c r="F275" t="s">
        <v>361</v>
      </c>
      <c r="G275" s="1" t="s">
        <v>368</v>
      </c>
      <c r="H275" s="1" t="s">
        <v>378</v>
      </c>
      <c r="I275" s="1" t="s">
        <v>383</v>
      </c>
      <c r="J275" t="s">
        <v>386</v>
      </c>
      <c r="K275" t="str">
        <f ca="1">TRIM(Table1_2[[#This Row],[Sub-Category]])</f>
        <v>Accessories</v>
      </c>
      <c r="L275" s="5">
        <v>650.99</v>
      </c>
      <c r="M275">
        <v>3</v>
      </c>
      <c r="N275" s="17">
        <v>0.26</v>
      </c>
      <c r="O275" s="5">
        <v>-80.81</v>
      </c>
      <c r="P275" s="8">
        <f>IF(Table1_2[[#This Row],[Sales]]=0, 0,Table1_2[[#This Row],[Profit]]/Table1_2[[#This Row],[Sales]])</f>
        <v>-0.12413401127513479</v>
      </c>
      <c r="Q275" s="7">
        <f>Table1_2[[#This Row],[Sales]]/Table1_2[[#This Row],[Quantity]]</f>
        <v>216.99666666666667</v>
      </c>
      <c r="R275" t="str">
        <f>IF(Table1_2[[#This Row],[Profit]]&gt;0, "YES", "NO")</f>
        <v>NO</v>
      </c>
      <c r="S275" t="str">
        <f>TEXT(Table1_2[[#This Row],[Order Date]], "MMM")</f>
        <v>May</v>
      </c>
      <c r="T275" t="str">
        <f>TEXT(Table1_2[[#This Row],[Ship Date]],"YYYY")</f>
        <v>2022</v>
      </c>
      <c r="U275" s="1">
        <f>MONTH(1&amp;Table1_2[[#This Row],[Month]])</f>
        <v>5</v>
      </c>
    </row>
    <row r="276" spans="1:21" x14ac:dyDescent="0.3">
      <c r="A276" t="s">
        <v>289</v>
      </c>
      <c r="B276" s="2">
        <v>44842</v>
      </c>
      <c r="C276" s="2">
        <v>44817</v>
      </c>
      <c r="D276" t="s">
        <v>350</v>
      </c>
      <c r="E276" t="s">
        <v>353</v>
      </c>
      <c r="F276" t="s">
        <v>363</v>
      </c>
      <c r="G276" s="1" t="s">
        <v>365</v>
      </c>
      <c r="H276" s="1" t="s">
        <v>380</v>
      </c>
      <c r="I276" s="1" t="s">
        <v>384</v>
      </c>
      <c r="J276" t="s">
        <v>387</v>
      </c>
      <c r="K276" t="str">
        <f ca="1">TRIM(Table1_2[[#This Row],[Sub-Category]])</f>
        <v>Phones</v>
      </c>
      <c r="L276" s="5">
        <v>1188.0899999999999</v>
      </c>
      <c r="M276">
        <v>9</v>
      </c>
      <c r="N276" s="17">
        <v>0.21</v>
      </c>
      <c r="O276" s="5">
        <v>432</v>
      </c>
      <c r="P276" s="8">
        <f>IF(Table1_2[[#This Row],[Sales]]=0, 0,Table1_2[[#This Row],[Profit]]/Table1_2[[#This Row],[Sales]])</f>
        <v>0.36360881751382473</v>
      </c>
      <c r="Q276" s="7">
        <f>Table1_2[[#This Row],[Sales]]/Table1_2[[#This Row],[Quantity]]</f>
        <v>132.01</v>
      </c>
      <c r="R276" t="str">
        <f>IF(Table1_2[[#This Row],[Profit]]&gt;0, "YES", "NO")</f>
        <v>YES</v>
      </c>
      <c r="S276" t="str">
        <f>TEXT(Table1_2[[#This Row],[Order Date]], "MMM")</f>
        <v>Oct</v>
      </c>
      <c r="T276" t="str">
        <f>TEXT(Table1_2[[#This Row],[Ship Date]],"YYYY")</f>
        <v>2022</v>
      </c>
      <c r="U276" s="1">
        <f>MONTH(1&amp;Table1_2[[#This Row],[Month]])</f>
        <v>10</v>
      </c>
    </row>
    <row r="277" spans="1:21" x14ac:dyDescent="0.3">
      <c r="A277" t="s">
        <v>290</v>
      </c>
      <c r="B277" s="2">
        <v>44576</v>
      </c>
      <c r="C277" s="2">
        <v>44458</v>
      </c>
      <c r="D277" t="s">
        <v>350</v>
      </c>
      <c r="E277" t="s">
        <v>354</v>
      </c>
      <c r="F277" t="s">
        <v>362</v>
      </c>
      <c r="G277" s="1" t="s">
        <v>367</v>
      </c>
      <c r="H277" s="1" t="s">
        <v>375</v>
      </c>
      <c r="I277" s="1" t="s">
        <v>383</v>
      </c>
      <c r="J277" t="s">
        <v>372</v>
      </c>
      <c r="K277" t="str">
        <f ca="1">TRIM(Table1_2[[#This Row],[Sub-Category]])</f>
        <v>Tables</v>
      </c>
      <c r="L277" s="5">
        <v>60.81</v>
      </c>
      <c r="M277">
        <v>7</v>
      </c>
      <c r="N277" s="17">
        <v>0.55000000000000004</v>
      </c>
      <c r="O277" s="5">
        <v>516.92999999999995</v>
      </c>
      <c r="P277" s="8">
        <f>IF(Table1_2[[#This Row],[Sales]]=0, 0,Table1_2[[#This Row],[Profit]]/Table1_2[[#This Row],[Sales]])</f>
        <v>8.5007400098667976</v>
      </c>
      <c r="Q277" s="7">
        <f>Table1_2[[#This Row],[Sales]]/Table1_2[[#This Row],[Quantity]]</f>
        <v>8.6871428571428577</v>
      </c>
      <c r="R277" t="str">
        <f>IF(Table1_2[[#This Row],[Profit]]&gt;0, "YES", "NO")</f>
        <v>YES</v>
      </c>
      <c r="S277" t="str">
        <f>TEXT(Table1_2[[#This Row],[Order Date]], "MMM")</f>
        <v>Jan</v>
      </c>
      <c r="T277" t="str">
        <f>TEXT(Table1_2[[#This Row],[Ship Date]],"YYYY")</f>
        <v>2021</v>
      </c>
      <c r="U277" s="1">
        <f>MONTH(1&amp;Table1_2[[#This Row],[Month]])</f>
        <v>1</v>
      </c>
    </row>
    <row r="278" spans="1:21" x14ac:dyDescent="0.3">
      <c r="A278" t="s">
        <v>291</v>
      </c>
      <c r="B278" s="2">
        <v>44610</v>
      </c>
      <c r="C278" s="2">
        <v>44486</v>
      </c>
      <c r="D278" t="s">
        <v>351</v>
      </c>
      <c r="E278" t="s">
        <v>353</v>
      </c>
      <c r="F278" t="s">
        <v>364</v>
      </c>
      <c r="G278" s="1" t="s">
        <v>373</v>
      </c>
      <c r="H278" s="1" t="s">
        <v>377</v>
      </c>
      <c r="I278" s="1" t="s">
        <v>384</v>
      </c>
      <c r="J278" t="s">
        <v>387</v>
      </c>
      <c r="K278" t="str">
        <f ca="1">TRIM(Table1_2[[#This Row],[Sub-Category]])</f>
        <v>NA</v>
      </c>
      <c r="L278" s="5">
        <v>24.84</v>
      </c>
      <c r="M278">
        <v>7</v>
      </c>
      <c r="N278" s="17">
        <v>0.55000000000000004</v>
      </c>
      <c r="O278" s="5">
        <v>277</v>
      </c>
      <c r="P278" s="8">
        <f>IF(Table1_2[[#This Row],[Sales]]=0, 0,Table1_2[[#This Row],[Profit]]/Table1_2[[#This Row],[Sales]])</f>
        <v>11.151368760064413</v>
      </c>
      <c r="Q278" s="7">
        <f>Table1_2[[#This Row],[Sales]]/Table1_2[[#This Row],[Quantity]]</f>
        <v>3.5485714285714285</v>
      </c>
      <c r="R278" t="str">
        <f>IF(Table1_2[[#This Row],[Profit]]&gt;0, "YES", "NO")</f>
        <v>YES</v>
      </c>
      <c r="S278" t="str">
        <f>TEXT(Table1_2[[#This Row],[Order Date]], "MMM")</f>
        <v>Feb</v>
      </c>
      <c r="T278" t="str">
        <f>TEXT(Table1_2[[#This Row],[Ship Date]],"YYYY")</f>
        <v>2021</v>
      </c>
      <c r="U278" s="1">
        <f>MONTH(1&amp;Table1_2[[#This Row],[Month]])</f>
        <v>2</v>
      </c>
    </row>
    <row r="279" spans="1:21" x14ac:dyDescent="0.3">
      <c r="A279" t="s">
        <v>292</v>
      </c>
      <c r="B279" s="2">
        <v>44598</v>
      </c>
      <c r="C279" s="2">
        <v>44616</v>
      </c>
      <c r="D279" t="s">
        <v>349</v>
      </c>
      <c r="E279" t="s">
        <v>359</v>
      </c>
      <c r="F279" t="s">
        <v>362</v>
      </c>
      <c r="G279" s="1" t="s">
        <v>368</v>
      </c>
      <c r="H279" s="1" t="s">
        <v>378</v>
      </c>
      <c r="I279" s="1" t="s">
        <v>381</v>
      </c>
      <c r="J279" t="s">
        <v>388</v>
      </c>
      <c r="K279" t="str">
        <f ca="1">TRIM(Table1_2[[#This Row],[Sub-Category]])</f>
        <v>NA</v>
      </c>
      <c r="L279" s="5">
        <v>1704.77</v>
      </c>
      <c r="M279">
        <v>7</v>
      </c>
      <c r="N279" s="17">
        <v>0.39</v>
      </c>
      <c r="O279" s="5">
        <v>88.21</v>
      </c>
      <c r="P279" s="8">
        <f>IF(Table1_2[[#This Row],[Sales]]=0, 0,Table1_2[[#This Row],[Profit]]/Table1_2[[#This Row],[Sales]])</f>
        <v>5.1743050382162988E-2</v>
      </c>
      <c r="Q279" s="7">
        <f>Table1_2[[#This Row],[Sales]]/Table1_2[[#This Row],[Quantity]]</f>
        <v>243.53857142857143</v>
      </c>
      <c r="R279" t="str">
        <f>IF(Table1_2[[#This Row],[Profit]]&gt;0, "YES", "NO")</f>
        <v>YES</v>
      </c>
      <c r="S279" t="str">
        <f>TEXT(Table1_2[[#This Row],[Order Date]], "MMM")</f>
        <v>Feb</v>
      </c>
      <c r="T279" t="str">
        <f>TEXT(Table1_2[[#This Row],[Ship Date]],"YYYY")</f>
        <v>2022</v>
      </c>
      <c r="U279" s="1">
        <f>MONTH(1&amp;Table1_2[[#This Row],[Month]])</f>
        <v>2</v>
      </c>
    </row>
    <row r="280" spans="1:21" x14ac:dyDescent="0.3">
      <c r="A280" t="s">
        <v>293</v>
      </c>
      <c r="B280" s="2">
        <v>44285</v>
      </c>
      <c r="C280" s="2">
        <v>44456</v>
      </c>
      <c r="D280" t="s">
        <v>350</v>
      </c>
      <c r="E280" t="s">
        <v>355</v>
      </c>
      <c r="F280" t="s">
        <v>361</v>
      </c>
      <c r="G280" s="1" t="s">
        <v>367</v>
      </c>
      <c r="H280" s="1" t="s">
        <v>414</v>
      </c>
      <c r="I280" s="1" t="s">
        <v>372</v>
      </c>
      <c r="J280" t="s">
        <v>388</v>
      </c>
      <c r="K280" t="str">
        <f ca="1">TRIM(Table1_2[[#This Row],[Sub-Category]])</f>
        <v>Paper</v>
      </c>
      <c r="L280" s="5">
        <v>102.38</v>
      </c>
      <c r="M280">
        <v>5</v>
      </c>
      <c r="N280" s="17">
        <v>7.0000000000000007E-2</v>
      </c>
      <c r="O280" s="5">
        <v>350.04</v>
      </c>
      <c r="P280" s="8">
        <f>IF(Table1_2[[#This Row],[Sales]]=0, 0,Table1_2[[#This Row],[Profit]]/Table1_2[[#This Row],[Sales]])</f>
        <v>3.4190271537409656</v>
      </c>
      <c r="Q280" s="7">
        <f>Table1_2[[#This Row],[Sales]]/Table1_2[[#This Row],[Quantity]]</f>
        <v>20.475999999999999</v>
      </c>
      <c r="R280" t="str">
        <f>IF(Table1_2[[#This Row],[Profit]]&gt;0, "YES", "NO")</f>
        <v>YES</v>
      </c>
      <c r="S280" t="str">
        <f>TEXT(Table1_2[[#This Row],[Order Date]], "MMM")</f>
        <v>Mar</v>
      </c>
      <c r="T280" t="str">
        <f>TEXT(Table1_2[[#This Row],[Ship Date]],"YYYY")</f>
        <v>2021</v>
      </c>
      <c r="U280" s="1">
        <f>MONTH(1&amp;Table1_2[[#This Row],[Month]])</f>
        <v>3</v>
      </c>
    </row>
    <row r="281" spans="1:21" x14ac:dyDescent="0.3">
      <c r="A281" t="s">
        <v>294</v>
      </c>
      <c r="B281" s="2">
        <v>44938</v>
      </c>
      <c r="C281" s="2">
        <v>44955</v>
      </c>
      <c r="D281" t="s">
        <v>349</v>
      </c>
      <c r="E281" t="s">
        <v>356</v>
      </c>
      <c r="F281" t="s">
        <v>361</v>
      </c>
      <c r="G281" s="1" t="s">
        <v>415</v>
      </c>
      <c r="H281" s="1" t="s">
        <v>415</v>
      </c>
      <c r="I281" s="1" t="s">
        <v>372</v>
      </c>
      <c r="J281" t="s">
        <v>386</v>
      </c>
      <c r="K281" t="str">
        <f ca="1">TRIM(Table1_2[[#This Row],[Sub-Category]])</f>
        <v>Binders</v>
      </c>
      <c r="L281" s="5">
        <v>1054.3399999999999</v>
      </c>
      <c r="M281">
        <v>9</v>
      </c>
      <c r="N281" s="17">
        <v>0.28999999999999998</v>
      </c>
      <c r="O281" s="5">
        <v>164.75</v>
      </c>
      <c r="P281" s="8">
        <f>IF(Table1_2[[#This Row],[Sales]]=0, 0,Table1_2[[#This Row],[Profit]]/Table1_2[[#This Row],[Sales]])</f>
        <v>0.15625889181857847</v>
      </c>
      <c r="Q281" s="7">
        <f>Table1_2[[#This Row],[Sales]]/Table1_2[[#This Row],[Quantity]]</f>
        <v>117.14888888888888</v>
      </c>
      <c r="R281" t="str">
        <f>IF(Table1_2[[#This Row],[Profit]]&gt;0, "YES", "NO")</f>
        <v>YES</v>
      </c>
      <c r="S281" t="str">
        <f>TEXT(Table1_2[[#This Row],[Order Date]], "MMM")</f>
        <v>Jan</v>
      </c>
      <c r="T281" t="str">
        <f>TEXT(Table1_2[[#This Row],[Ship Date]],"YYYY")</f>
        <v>2023</v>
      </c>
      <c r="U281" s="1">
        <f>MONTH(1&amp;Table1_2[[#This Row],[Month]])</f>
        <v>1</v>
      </c>
    </row>
    <row r="282" spans="1:21" x14ac:dyDescent="0.3">
      <c r="A282" t="s">
        <v>295</v>
      </c>
      <c r="B282" s="2">
        <v>44849</v>
      </c>
      <c r="C282" s="2">
        <v>44301</v>
      </c>
      <c r="D282" t="s">
        <v>349</v>
      </c>
      <c r="E282" t="s">
        <v>356</v>
      </c>
      <c r="F282" t="s">
        <v>363</v>
      </c>
      <c r="G282" s="1" t="s">
        <v>373</v>
      </c>
      <c r="H282" s="1" t="s">
        <v>376</v>
      </c>
      <c r="I282" s="1" t="s">
        <v>384</v>
      </c>
      <c r="J282" t="s">
        <v>387</v>
      </c>
      <c r="K282" t="str">
        <f ca="1">TRIM(Table1_2[[#This Row],[Sub-Category]])</f>
        <v>Chairs</v>
      </c>
      <c r="L282" s="5">
        <v>1233.83</v>
      </c>
      <c r="M282">
        <v>2</v>
      </c>
      <c r="N282" s="17">
        <v>0.15</v>
      </c>
      <c r="O282" s="5">
        <v>709</v>
      </c>
      <c r="P282" s="8">
        <f>IF(Table1_2[[#This Row],[Sales]]=0, 0,Table1_2[[#This Row],[Profit]]/Table1_2[[#This Row],[Sales]])</f>
        <v>0.57463345841809654</v>
      </c>
      <c r="Q282" s="7">
        <f>Table1_2[[#This Row],[Sales]]/Table1_2[[#This Row],[Quantity]]</f>
        <v>616.91499999999996</v>
      </c>
      <c r="R282" t="str">
        <f>IF(Table1_2[[#This Row],[Profit]]&gt;0, "YES", "NO")</f>
        <v>YES</v>
      </c>
      <c r="S282" t="str">
        <f>TEXT(Table1_2[[#This Row],[Order Date]], "MMM")</f>
        <v>Oct</v>
      </c>
      <c r="T282" t="str">
        <f>TEXT(Table1_2[[#This Row],[Ship Date]],"YYYY")</f>
        <v>2021</v>
      </c>
      <c r="U282" s="1">
        <f>MONTH(1&amp;Table1_2[[#This Row],[Month]])</f>
        <v>10</v>
      </c>
    </row>
    <row r="283" spans="1:21" x14ac:dyDescent="0.3">
      <c r="A283" t="s">
        <v>296</v>
      </c>
      <c r="B283" s="2">
        <v>44928</v>
      </c>
      <c r="C283" s="2">
        <v>45024</v>
      </c>
      <c r="D283" t="s">
        <v>350</v>
      </c>
      <c r="E283" t="s">
        <v>358</v>
      </c>
      <c r="F283" t="s">
        <v>361</v>
      </c>
      <c r="G283" s="1" t="s">
        <v>415</v>
      </c>
      <c r="H283" s="1" t="s">
        <v>377</v>
      </c>
      <c r="I283" s="1" t="s">
        <v>384</v>
      </c>
      <c r="J283" t="s">
        <v>387</v>
      </c>
      <c r="K283" t="str">
        <f ca="1">TRIM(Table1_2[[#This Row],[Sub-Category]])</f>
        <v>NA</v>
      </c>
      <c r="L283" s="5">
        <v>404.36</v>
      </c>
      <c r="M283">
        <v>6</v>
      </c>
      <c r="N283" s="17">
        <v>0.53</v>
      </c>
      <c r="O283" s="5">
        <v>157</v>
      </c>
      <c r="P283" s="8">
        <f>IF(Table1_2[[#This Row],[Sales]]=0, 0,Table1_2[[#This Row],[Profit]]/Table1_2[[#This Row],[Sales]])</f>
        <v>0.38826788010683549</v>
      </c>
      <c r="Q283" s="7">
        <f>Table1_2[[#This Row],[Sales]]/Table1_2[[#This Row],[Quantity]]</f>
        <v>67.393333333333331</v>
      </c>
      <c r="R283" t="str">
        <f>IF(Table1_2[[#This Row],[Profit]]&gt;0, "YES", "NO")</f>
        <v>YES</v>
      </c>
      <c r="S283" t="str">
        <f>TEXT(Table1_2[[#This Row],[Order Date]], "MMM")</f>
        <v>Jan</v>
      </c>
      <c r="T283" t="str">
        <f>TEXT(Table1_2[[#This Row],[Ship Date]],"YYYY")</f>
        <v>2023</v>
      </c>
      <c r="U283" s="1">
        <f>MONTH(1&amp;Table1_2[[#This Row],[Month]])</f>
        <v>1</v>
      </c>
    </row>
    <row r="284" spans="1:21" x14ac:dyDescent="0.3">
      <c r="A284" t="s">
        <v>297</v>
      </c>
      <c r="B284" s="2">
        <v>44730</v>
      </c>
      <c r="C284" s="2">
        <v>44546</v>
      </c>
      <c r="D284" t="s">
        <v>349</v>
      </c>
      <c r="E284" t="s">
        <v>354</v>
      </c>
      <c r="F284" t="s">
        <v>363</v>
      </c>
      <c r="G284" s="1" t="s">
        <v>366</v>
      </c>
      <c r="H284" s="1" t="s">
        <v>380</v>
      </c>
      <c r="I284" s="1" t="s">
        <v>384</v>
      </c>
      <c r="J284" t="s">
        <v>387</v>
      </c>
      <c r="K284" t="str">
        <f ca="1">TRIM(Table1_2[[#This Row],[Sub-Category]])</f>
        <v>Tables</v>
      </c>
      <c r="L284" s="5">
        <v>1792.5</v>
      </c>
      <c r="M284">
        <v>1</v>
      </c>
      <c r="N284" s="17">
        <v>0.08</v>
      </c>
      <c r="O284" s="5">
        <v>-24</v>
      </c>
      <c r="P284" s="8">
        <f>IF(Table1_2[[#This Row],[Sales]]=0, 0,Table1_2[[#This Row],[Profit]]/Table1_2[[#This Row],[Sales]])</f>
        <v>-1.3389121338912133E-2</v>
      </c>
      <c r="Q284" s="7">
        <f>Table1_2[[#This Row],[Sales]]/Table1_2[[#This Row],[Quantity]]</f>
        <v>1792.5</v>
      </c>
      <c r="R284" t="str">
        <f>IF(Table1_2[[#This Row],[Profit]]&gt;0, "YES", "NO")</f>
        <v>NO</v>
      </c>
      <c r="S284" t="str">
        <f>TEXT(Table1_2[[#This Row],[Order Date]], "MMM")</f>
        <v>Jun</v>
      </c>
      <c r="T284" t="str">
        <f>TEXT(Table1_2[[#This Row],[Ship Date]],"YYYY")</f>
        <v>2021</v>
      </c>
      <c r="U284" s="1">
        <f>MONTH(1&amp;Table1_2[[#This Row],[Month]])</f>
        <v>6</v>
      </c>
    </row>
    <row r="285" spans="1:21" x14ac:dyDescent="0.3">
      <c r="A285" t="s">
        <v>298</v>
      </c>
      <c r="B285" s="2">
        <v>44979</v>
      </c>
      <c r="C285" s="2">
        <v>44759</v>
      </c>
      <c r="D285" t="s">
        <v>349</v>
      </c>
      <c r="E285" t="s">
        <v>355</v>
      </c>
      <c r="F285" t="s">
        <v>362</v>
      </c>
      <c r="G285" s="1" t="s">
        <v>365</v>
      </c>
      <c r="H285" s="1" t="s">
        <v>377</v>
      </c>
      <c r="I285" s="1" t="s">
        <v>382</v>
      </c>
      <c r="J285" t="s">
        <v>387</v>
      </c>
      <c r="K285" t="str">
        <f ca="1">TRIM(Table1_2[[#This Row],[Sub-Category]])</f>
        <v>Phones</v>
      </c>
      <c r="L285" s="5">
        <v>388.29</v>
      </c>
      <c r="M285">
        <v>3</v>
      </c>
      <c r="N285" s="17">
        <v>0.03</v>
      </c>
      <c r="O285" s="5">
        <v>376</v>
      </c>
      <c r="P285" s="8">
        <f>IF(Table1_2[[#This Row],[Sales]]=0, 0,Table1_2[[#This Row],[Profit]]/Table1_2[[#This Row],[Sales]])</f>
        <v>0.96834839939220685</v>
      </c>
      <c r="Q285" s="7">
        <f>Table1_2[[#This Row],[Sales]]/Table1_2[[#This Row],[Quantity]]</f>
        <v>129.43</v>
      </c>
      <c r="R285" t="str">
        <f>IF(Table1_2[[#This Row],[Profit]]&gt;0, "YES", "NO")</f>
        <v>YES</v>
      </c>
      <c r="S285" t="str">
        <f>TEXT(Table1_2[[#This Row],[Order Date]], "MMM")</f>
        <v>Feb</v>
      </c>
      <c r="T285" t="str">
        <f>TEXT(Table1_2[[#This Row],[Ship Date]],"YYYY")</f>
        <v>2022</v>
      </c>
      <c r="U285" s="1">
        <f>MONTH(1&amp;Table1_2[[#This Row],[Month]])</f>
        <v>2</v>
      </c>
    </row>
    <row r="286" spans="1:21" x14ac:dyDescent="0.3">
      <c r="A286" t="s">
        <v>299</v>
      </c>
      <c r="B286" s="2">
        <v>45146</v>
      </c>
      <c r="C286" s="2">
        <v>44414</v>
      </c>
      <c r="D286" t="s">
        <v>350</v>
      </c>
      <c r="E286" t="s">
        <v>353</v>
      </c>
      <c r="F286" t="s">
        <v>362</v>
      </c>
      <c r="G286" s="1" t="s">
        <v>373</v>
      </c>
      <c r="H286" s="1" t="s">
        <v>375</v>
      </c>
      <c r="I286" s="1" t="s">
        <v>381</v>
      </c>
      <c r="J286" t="s">
        <v>387</v>
      </c>
      <c r="K286" t="str">
        <f ca="1">TRIM(Table1_2[[#This Row],[Sub-Category]])</f>
        <v>Chairs</v>
      </c>
      <c r="L286" s="5">
        <v>1770</v>
      </c>
      <c r="M286">
        <v>6</v>
      </c>
      <c r="N286" s="17">
        <v>0.42</v>
      </c>
      <c r="O286" s="5">
        <v>195.99</v>
      </c>
      <c r="P286" s="8">
        <f>IF(Table1_2[[#This Row],[Sales]]=0, 0,Table1_2[[#This Row],[Profit]]/Table1_2[[#This Row],[Sales]])</f>
        <v>0.11072881355932204</v>
      </c>
      <c r="Q286" s="7">
        <f>Table1_2[[#This Row],[Sales]]/Table1_2[[#This Row],[Quantity]]</f>
        <v>295</v>
      </c>
      <c r="R286" t="str">
        <f>IF(Table1_2[[#This Row],[Profit]]&gt;0, "YES", "NO")</f>
        <v>YES</v>
      </c>
      <c r="S286" t="str">
        <f>TEXT(Table1_2[[#This Row],[Order Date]], "MMM")</f>
        <v>Aug</v>
      </c>
      <c r="T286" t="str">
        <f>TEXT(Table1_2[[#This Row],[Ship Date]],"YYYY")</f>
        <v>2021</v>
      </c>
      <c r="U286" s="1">
        <f>MONTH(1&amp;Table1_2[[#This Row],[Month]])</f>
        <v>8</v>
      </c>
    </row>
    <row r="287" spans="1:21" x14ac:dyDescent="0.3">
      <c r="A287" t="s">
        <v>300</v>
      </c>
      <c r="B287" s="2">
        <v>44766</v>
      </c>
      <c r="C287" s="2">
        <v>44583</v>
      </c>
      <c r="D287" t="s">
        <v>349</v>
      </c>
      <c r="E287" t="s">
        <v>353</v>
      </c>
      <c r="F287" t="s">
        <v>363</v>
      </c>
      <c r="G287" s="1" t="s">
        <v>365</v>
      </c>
      <c r="H287" s="1" t="s">
        <v>376</v>
      </c>
      <c r="I287" s="1" t="s">
        <v>383</v>
      </c>
      <c r="J287" t="s">
        <v>387</v>
      </c>
      <c r="K287" t="str">
        <f ca="1">TRIM(Table1_2[[#This Row],[Sub-Category]])</f>
        <v>Chairs</v>
      </c>
      <c r="L287" s="5">
        <v>1528.35</v>
      </c>
      <c r="M287">
        <v>5</v>
      </c>
      <c r="N287" s="17">
        <v>0.27</v>
      </c>
      <c r="O287" s="5">
        <v>-104</v>
      </c>
      <c r="P287" s="8">
        <f>IF(Table1_2[[#This Row],[Sales]]=0, 0,Table1_2[[#This Row],[Profit]]/Table1_2[[#This Row],[Sales]])</f>
        <v>-6.8047240488108091E-2</v>
      </c>
      <c r="Q287" s="7">
        <f>Table1_2[[#This Row],[Sales]]/Table1_2[[#This Row],[Quantity]]</f>
        <v>305.66999999999996</v>
      </c>
      <c r="R287" t="str">
        <f>IF(Table1_2[[#This Row],[Profit]]&gt;0, "YES", "NO")</f>
        <v>NO</v>
      </c>
      <c r="S287" t="str">
        <f>TEXT(Table1_2[[#This Row],[Order Date]], "MMM")</f>
        <v>Jul</v>
      </c>
      <c r="T287" t="str">
        <f>TEXT(Table1_2[[#This Row],[Ship Date]],"YYYY")</f>
        <v>2022</v>
      </c>
      <c r="U287" s="1">
        <f>MONTH(1&amp;Table1_2[[#This Row],[Month]])</f>
        <v>7</v>
      </c>
    </row>
    <row r="288" spans="1:21" x14ac:dyDescent="0.3">
      <c r="A288" t="s">
        <v>301</v>
      </c>
      <c r="B288" s="2">
        <v>44641</v>
      </c>
      <c r="C288" s="2">
        <v>44952</v>
      </c>
      <c r="D288" t="s">
        <v>350</v>
      </c>
      <c r="E288" t="s">
        <v>360</v>
      </c>
      <c r="F288" t="s">
        <v>364</v>
      </c>
      <c r="G288" s="1" t="s">
        <v>415</v>
      </c>
      <c r="H288" s="1" t="s">
        <v>380</v>
      </c>
      <c r="I288" s="1" t="s">
        <v>372</v>
      </c>
      <c r="J288" t="s">
        <v>372</v>
      </c>
      <c r="K288" t="str">
        <f ca="1">TRIM(Table1_2[[#This Row],[Sub-Category]])</f>
        <v>Paper</v>
      </c>
      <c r="L288" s="5">
        <v>489.08</v>
      </c>
      <c r="M288">
        <v>9</v>
      </c>
      <c r="N288" s="17">
        <v>0.5</v>
      </c>
      <c r="O288" s="5">
        <v>364.84</v>
      </c>
      <c r="P288" s="8">
        <f>IF(Table1_2[[#This Row],[Sales]]=0, 0,Table1_2[[#This Row],[Profit]]/Table1_2[[#This Row],[Sales]])</f>
        <v>0.745972029115891</v>
      </c>
      <c r="Q288" s="7">
        <f>Table1_2[[#This Row],[Sales]]/Table1_2[[#This Row],[Quantity]]</f>
        <v>54.342222222222219</v>
      </c>
      <c r="R288" t="str">
        <f>IF(Table1_2[[#This Row],[Profit]]&gt;0, "YES", "NO")</f>
        <v>YES</v>
      </c>
      <c r="S288" t="str">
        <f>TEXT(Table1_2[[#This Row],[Order Date]], "MMM")</f>
        <v>Mar</v>
      </c>
      <c r="T288" t="str">
        <f>TEXT(Table1_2[[#This Row],[Ship Date]],"YYYY")</f>
        <v>2023</v>
      </c>
      <c r="U288" s="1">
        <f>MONTH(1&amp;Table1_2[[#This Row],[Month]])</f>
        <v>3</v>
      </c>
    </row>
    <row r="289" spans="1:21" x14ac:dyDescent="0.3">
      <c r="A289" t="s">
        <v>302</v>
      </c>
      <c r="B289" s="2">
        <v>44301</v>
      </c>
      <c r="C289" s="2">
        <v>44468</v>
      </c>
      <c r="D289" t="s">
        <v>350</v>
      </c>
      <c r="E289" t="s">
        <v>359</v>
      </c>
      <c r="F289" t="s">
        <v>361</v>
      </c>
      <c r="G289" s="1" t="s">
        <v>369</v>
      </c>
      <c r="H289" s="1" t="s">
        <v>376</v>
      </c>
      <c r="I289" s="1" t="s">
        <v>384</v>
      </c>
      <c r="J289" t="s">
        <v>388</v>
      </c>
      <c r="K289" t="str">
        <f ca="1">TRIM(Table1_2[[#This Row],[Sub-Category]])</f>
        <v>Phones</v>
      </c>
      <c r="L289" s="5">
        <v>310</v>
      </c>
      <c r="M289">
        <v>6</v>
      </c>
      <c r="N289" s="17">
        <v>0.04</v>
      </c>
      <c r="O289" s="5">
        <v>337.85</v>
      </c>
      <c r="P289" s="8">
        <f>IF(Table1_2[[#This Row],[Sales]]=0, 0,Table1_2[[#This Row],[Profit]]/Table1_2[[#This Row],[Sales]])</f>
        <v>1.0898387096774194</v>
      </c>
      <c r="Q289" s="7">
        <f>Table1_2[[#This Row],[Sales]]/Table1_2[[#This Row],[Quantity]]</f>
        <v>51.666666666666664</v>
      </c>
      <c r="R289" t="str">
        <f>IF(Table1_2[[#This Row],[Profit]]&gt;0, "YES", "NO")</f>
        <v>YES</v>
      </c>
      <c r="S289" t="str">
        <f>TEXT(Table1_2[[#This Row],[Order Date]], "MMM")</f>
        <v>Apr</v>
      </c>
      <c r="T289" t="str">
        <f>TEXT(Table1_2[[#This Row],[Ship Date]],"YYYY")</f>
        <v>2021</v>
      </c>
      <c r="U289" s="1">
        <f>MONTH(1&amp;Table1_2[[#This Row],[Month]])</f>
        <v>4</v>
      </c>
    </row>
    <row r="290" spans="1:21" x14ac:dyDescent="0.3">
      <c r="A290" t="s">
        <v>303</v>
      </c>
      <c r="B290" s="2">
        <v>44975</v>
      </c>
      <c r="C290" s="2">
        <v>44330</v>
      </c>
      <c r="D290" t="s">
        <v>349</v>
      </c>
      <c r="E290" t="s">
        <v>359</v>
      </c>
      <c r="F290" t="s">
        <v>362</v>
      </c>
      <c r="G290" s="1" t="s">
        <v>415</v>
      </c>
      <c r="H290" s="1" t="s">
        <v>415</v>
      </c>
      <c r="I290" s="1" t="s">
        <v>384</v>
      </c>
      <c r="J290" t="s">
        <v>388</v>
      </c>
      <c r="K290" t="str">
        <f ca="1">TRIM(Table1_2[[#This Row],[Sub-Category]])</f>
        <v>NA</v>
      </c>
      <c r="L290" s="5">
        <v>639.29999999999995</v>
      </c>
      <c r="M290">
        <v>4</v>
      </c>
      <c r="N290" s="17">
        <v>0.48</v>
      </c>
      <c r="O290" s="5">
        <v>-26.8</v>
      </c>
      <c r="P290" s="8">
        <f>IF(Table1_2[[#This Row],[Sales]]=0, 0,Table1_2[[#This Row],[Profit]]/Table1_2[[#This Row],[Sales]])</f>
        <v>-4.1920850930705467E-2</v>
      </c>
      <c r="Q290" s="7">
        <f>Table1_2[[#This Row],[Sales]]/Table1_2[[#This Row],[Quantity]]</f>
        <v>159.82499999999999</v>
      </c>
      <c r="R290" t="str">
        <f>IF(Table1_2[[#This Row],[Profit]]&gt;0, "YES", "NO")</f>
        <v>NO</v>
      </c>
      <c r="S290" t="str">
        <f>TEXT(Table1_2[[#This Row],[Order Date]], "MMM")</f>
        <v>Feb</v>
      </c>
      <c r="T290" t="str">
        <f>TEXT(Table1_2[[#This Row],[Ship Date]],"YYYY")</f>
        <v>2021</v>
      </c>
      <c r="U290" s="1">
        <f>MONTH(1&amp;Table1_2[[#This Row],[Month]])</f>
        <v>2</v>
      </c>
    </row>
    <row r="291" spans="1:21" x14ac:dyDescent="0.3">
      <c r="A291" t="s">
        <v>304</v>
      </c>
      <c r="B291" s="2">
        <v>45100</v>
      </c>
      <c r="C291" s="2">
        <v>44719</v>
      </c>
      <c r="D291" t="s">
        <v>349</v>
      </c>
      <c r="E291" t="s">
        <v>355</v>
      </c>
      <c r="F291" t="s">
        <v>362</v>
      </c>
      <c r="G291" s="1" t="s">
        <v>370</v>
      </c>
      <c r="H291" s="1" t="s">
        <v>415</v>
      </c>
      <c r="I291" s="1" t="s">
        <v>383</v>
      </c>
      <c r="J291" t="s">
        <v>372</v>
      </c>
      <c r="K291" t="str">
        <f ca="1">TRIM(Table1_2[[#This Row],[Sub-Category]])</f>
        <v>Tables</v>
      </c>
      <c r="L291" s="5">
        <v>802</v>
      </c>
      <c r="M291">
        <v>4</v>
      </c>
      <c r="N291" s="17">
        <v>0.02</v>
      </c>
      <c r="O291" s="5">
        <v>398</v>
      </c>
      <c r="P291" s="8">
        <f>IF(Table1_2[[#This Row],[Sales]]=0, 0,Table1_2[[#This Row],[Profit]]/Table1_2[[#This Row],[Sales]])</f>
        <v>0.49625935162094764</v>
      </c>
      <c r="Q291" s="7">
        <f>Table1_2[[#This Row],[Sales]]/Table1_2[[#This Row],[Quantity]]</f>
        <v>200.5</v>
      </c>
      <c r="R291" t="str">
        <f>IF(Table1_2[[#This Row],[Profit]]&gt;0, "YES", "NO")</f>
        <v>YES</v>
      </c>
      <c r="S291" t="str">
        <f>TEXT(Table1_2[[#This Row],[Order Date]], "MMM")</f>
        <v>Jun</v>
      </c>
      <c r="T291" t="str">
        <f>TEXT(Table1_2[[#This Row],[Ship Date]],"YYYY")</f>
        <v>2022</v>
      </c>
      <c r="U291" s="1">
        <f>MONTH(1&amp;Table1_2[[#This Row],[Month]])</f>
        <v>6</v>
      </c>
    </row>
    <row r="292" spans="1:21" x14ac:dyDescent="0.3">
      <c r="A292" t="s">
        <v>305</v>
      </c>
      <c r="B292" s="2">
        <v>44896</v>
      </c>
      <c r="C292" s="2">
        <v>44360</v>
      </c>
      <c r="D292" t="s">
        <v>350</v>
      </c>
      <c r="E292" t="s">
        <v>359</v>
      </c>
      <c r="F292" t="s">
        <v>362</v>
      </c>
      <c r="G292" s="1" t="s">
        <v>371</v>
      </c>
      <c r="H292" s="1" t="s">
        <v>377</v>
      </c>
      <c r="I292" s="1" t="s">
        <v>382</v>
      </c>
      <c r="J292" t="s">
        <v>387</v>
      </c>
      <c r="K292" t="str">
        <f ca="1">TRIM(Table1_2[[#This Row],[Sub-Category]])</f>
        <v>Accessories</v>
      </c>
      <c r="L292" s="5">
        <v>499</v>
      </c>
      <c r="M292">
        <v>6</v>
      </c>
      <c r="N292" s="17">
        <v>0.02</v>
      </c>
      <c r="O292" s="5">
        <v>367</v>
      </c>
      <c r="P292" s="8">
        <f>IF(Table1_2[[#This Row],[Sales]]=0, 0,Table1_2[[#This Row],[Profit]]/Table1_2[[#This Row],[Sales]])</f>
        <v>0.73547094188376749</v>
      </c>
      <c r="Q292" s="7">
        <f>Table1_2[[#This Row],[Sales]]/Table1_2[[#This Row],[Quantity]]</f>
        <v>83.166666666666671</v>
      </c>
      <c r="R292" t="str">
        <f>IF(Table1_2[[#This Row],[Profit]]&gt;0, "YES", "NO")</f>
        <v>YES</v>
      </c>
      <c r="S292" t="str">
        <f>TEXT(Table1_2[[#This Row],[Order Date]], "MMM")</f>
        <v>Dec</v>
      </c>
      <c r="T292" t="str">
        <f>TEXT(Table1_2[[#This Row],[Ship Date]],"YYYY")</f>
        <v>2021</v>
      </c>
      <c r="U292" s="1">
        <f>MONTH(1&amp;Table1_2[[#This Row],[Month]])</f>
        <v>12</v>
      </c>
    </row>
    <row r="293" spans="1:21" x14ac:dyDescent="0.3">
      <c r="A293" t="s">
        <v>306</v>
      </c>
      <c r="B293" s="2">
        <v>45062</v>
      </c>
      <c r="C293" s="2">
        <v>44512</v>
      </c>
      <c r="D293" t="s">
        <v>351</v>
      </c>
      <c r="E293" t="s">
        <v>355</v>
      </c>
      <c r="F293" t="s">
        <v>364</v>
      </c>
      <c r="G293" s="1" t="s">
        <v>366</v>
      </c>
      <c r="H293" s="1" t="s">
        <v>375</v>
      </c>
      <c r="I293" s="1" t="s">
        <v>385</v>
      </c>
      <c r="J293" t="s">
        <v>387</v>
      </c>
      <c r="K293" t="str">
        <f ca="1">TRIM(Table1_2[[#This Row],[Sub-Category]])</f>
        <v>Chairs</v>
      </c>
      <c r="L293" s="5">
        <v>1998</v>
      </c>
      <c r="M293">
        <v>8</v>
      </c>
      <c r="N293" s="17">
        <v>0.28000000000000003</v>
      </c>
      <c r="O293" s="5">
        <v>573.61</v>
      </c>
      <c r="P293" s="8">
        <f>IF(Table1_2[[#This Row],[Sales]]=0, 0,Table1_2[[#This Row],[Profit]]/Table1_2[[#This Row],[Sales]])</f>
        <v>0.28709209209209208</v>
      </c>
      <c r="Q293" s="7">
        <f>Table1_2[[#This Row],[Sales]]/Table1_2[[#This Row],[Quantity]]</f>
        <v>249.75</v>
      </c>
      <c r="R293" t="str">
        <f>IF(Table1_2[[#This Row],[Profit]]&gt;0, "YES", "NO")</f>
        <v>YES</v>
      </c>
      <c r="S293" t="str">
        <f>TEXT(Table1_2[[#This Row],[Order Date]], "MMM")</f>
        <v>May</v>
      </c>
      <c r="T293" t="str">
        <f>TEXT(Table1_2[[#This Row],[Ship Date]],"YYYY")</f>
        <v>2021</v>
      </c>
      <c r="U293" s="1">
        <f>MONTH(1&amp;Table1_2[[#This Row],[Month]])</f>
        <v>5</v>
      </c>
    </row>
    <row r="294" spans="1:21" x14ac:dyDescent="0.3">
      <c r="A294" t="s">
        <v>307</v>
      </c>
      <c r="B294" s="2">
        <v>45058</v>
      </c>
      <c r="C294" s="2">
        <v>44648</v>
      </c>
      <c r="D294" t="s">
        <v>350</v>
      </c>
      <c r="E294" t="s">
        <v>360</v>
      </c>
      <c r="F294" t="s">
        <v>361</v>
      </c>
      <c r="G294" s="1" t="s">
        <v>373</v>
      </c>
      <c r="H294" s="1" t="s">
        <v>374</v>
      </c>
      <c r="I294" s="1" t="s">
        <v>384</v>
      </c>
      <c r="J294" t="s">
        <v>386</v>
      </c>
      <c r="K294" t="str">
        <f ca="1">TRIM(Table1_2[[#This Row],[Sub-Category]])</f>
        <v>NA</v>
      </c>
      <c r="L294" s="5">
        <v>467</v>
      </c>
      <c r="M294">
        <v>3</v>
      </c>
      <c r="N294" s="17">
        <v>0.13</v>
      </c>
      <c r="O294" s="5">
        <v>161.57</v>
      </c>
      <c r="P294" s="8">
        <f>IF(Table1_2[[#This Row],[Sales]]=0, 0,Table1_2[[#This Row],[Profit]]/Table1_2[[#This Row],[Sales]])</f>
        <v>0.34597430406852248</v>
      </c>
      <c r="Q294" s="7">
        <f>Table1_2[[#This Row],[Sales]]/Table1_2[[#This Row],[Quantity]]</f>
        <v>155.66666666666666</v>
      </c>
      <c r="R294" t="str">
        <f>IF(Table1_2[[#This Row],[Profit]]&gt;0, "YES", "NO")</f>
        <v>YES</v>
      </c>
      <c r="S294" t="str">
        <f>TEXT(Table1_2[[#This Row],[Order Date]], "MMM")</f>
        <v>May</v>
      </c>
      <c r="T294" t="str">
        <f>TEXT(Table1_2[[#This Row],[Ship Date]],"YYYY")</f>
        <v>2022</v>
      </c>
      <c r="U294" s="1">
        <f>MONTH(1&amp;Table1_2[[#This Row],[Month]])</f>
        <v>5</v>
      </c>
    </row>
    <row r="295" spans="1:21" x14ac:dyDescent="0.3">
      <c r="A295" t="s">
        <v>308</v>
      </c>
      <c r="B295" s="2">
        <v>44995</v>
      </c>
      <c r="C295" s="2">
        <v>44762</v>
      </c>
      <c r="D295" t="s">
        <v>351</v>
      </c>
      <c r="E295" t="s">
        <v>357</v>
      </c>
      <c r="F295" t="s">
        <v>364</v>
      </c>
      <c r="G295" s="1" t="s">
        <v>365</v>
      </c>
      <c r="H295" s="1" t="s">
        <v>374</v>
      </c>
      <c r="I295" s="1" t="s">
        <v>385</v>
      </c>
      <c r="J295" t="s">
        <v>386</v>
      </c>
      <c r="K295" t="str">
        <f ca="1">TRIM(Table1_2[[#This Row],[Sub-Category]])</f>
        <v>NA</v>
      </c>
      <c r="L295" s="5">
        <v>1663</v>
      </c>
      <c r="M295">
        <v>6</v>
      </c>
      <c r="N295" s="17">
        <v>0.36</v>
      </c>
      <c r="O295" s="5">
        <v>49</v>
      </c>
      <c r="P295" s="8">
        <f>IF(Table1_2[[#This Row],[Sales]]=0, 0,Table1_2[[#This Row],[Profit]]/Table1_2[[#This Row],[Sales]])</f>
        <v>2.9464822609741433E-2</v>
      </c>
      <c r="Q295" s="7">
        <f>Table1_2[[#This Row],[Sales]]/Table1_2[[#This Row],[Quantity]]</f>
        <v>277.16666666666669</v>
      </c>
      <c r="R295" t="str">
        <f>IF(Table1_2[[#This Row],[Profit]]&gt;0, "YES", "NO")</f>
        <v>YES</v>
      </c>
      <c r="S295" t="str">
        <f>TEXT(Table1_2[[#This Row],[Order Date]], "MMM")</f>
        <v>Mar</v>
      </c>
      <c r="T295" t="str">
        <f>TEXT(Table1_2[[#This Row],[Ship Date]],"YYYY")</f>
        <v>2022</v>
      </c>
      <c r="U295" s="1">
        <f>MONTH(1&amp;Table1_2[[#This Row],[Month]])</f>
        <v>3</v>
      </c>
    </row>
    <row r="296" spans="1:21" x14ac:dyDescent="0.3">
      <c r="A296" t="s">
        <v>309</v>
      </c>
      <c r="B296" s="2">
        <v>44699</v>
      </c>
      <c r="C296" s="2">
        <v>44837</v>
      </c>
      <c r="D296" t="s">
        <v>350</v>
      </c>
      <c r="E296" t="s">
        <v>354</v>
      </c>
      <c r="F296" t="s">
        <v>361</v>
      </c>
      <c r="G296" s="1" t="s">
        <v>370</v>
      </c>
      <c r="H296" s="1" t="s">
        <v>378</v>
      </c>
      <c r="I296" s="1" t="s">
        <v>383</v>
      </c>
      <c r="J296" t="s">
        <v>388</v>
      </c>
      <c r="K296" t="str">
        <f ca="1">TRIM(Table1_2[[#This Row],[Sub-Category]])</f>
        <v>Phones</v>
      </c>
      <c r="L296" s="5">
        <v>326.64</v>
      </c>
      <c r="M296">
        <v>6</v>
      </c>
      <c r="N296" s="17">
        <v>0.02</v>
      </c>
      <c r="O296" s="5">
        <v>751.22</v>
      </c>
      <c r="P296" s="8">
        <f>IF(Table1_2[[#This Row],[Sales]]=0, 0,Table1_2[[#This Row],[Profit]]/Table1_2[[#This Row],[Sales]])</f>
        <v>2.2998408033308841</v>
      </c>
      <c r="Q296" s="7">
        <f>Table1_2[[#This Row],[Sales]]/Table1_2[[#This Row],[Quantity]]</f>
        <v>54.44</v>
      </c>
      <c r="R296" t="str">
        <f>IF(Table1_2[[#This Row],[Profit]]&gt;0, "YES", "NO")</f>
        <v>YES</v>
      </c>
      <c r="S296" t="str">
        <f>TEXT(Table1_2[[#This Row],[Order Date]], "MMM")</f>
        <v>May</v>
      </c>
      <c r="T296" t="str">
        <f>TEXT(Table1_2[[#This Row],[Ship Date]],"YYYY")</f>
        <v>2022</v>
      </c>
      <c r="U296" s="1">
        <f>MONTH(1&amp;Table1_2[[#This Row],[Month]])</f>
        <v>5</v>
      </c>
    </row>
    <row r="297" spans="1:21" x14ac:dyDescent="0.3">
      <c r="A297" t="s">
        <v>310</v>
      </c>
      <c r="B297" s="2">
        <v>44296</v>
      </c>
      <c r="C297" s="2">
        <v>44874</v>
      </c>
      <c r="D297" t="s">
        <v>349</v>
      </c>
      <c r="E297" t="s">
        <v>358</v>
      </c>
      <c r="F297" t="s">
        <v>363</v>
      </c>
      <c r="G297" s="1" t="s">
        <v>415</v>
      </c>
      <c r="H297" s="1" t="s">
        <v>414</v>
      </c>
      <c r="I297" s="1" t="s">
        <v>372</v>
      </c>
      <c r="J297" t="s">
        <v>372</v>
      </c>
      <c r="K297" t="str">
        <f ca="1">TRIM(Table1_2[[#This Row],[Sub-Category]])</f>
        <v>Chairs</v>
      </c>
      <c r="L297" s="5">
        <v>1960.69</v>
      </c>
      <c r="M297">
        <v>1</v>
      </c>
      <c r="N297" s="17">
        <v>0.02</v>
      </c>
      <c r="O297" s="5">
        <v>361.22</v>
      </c>
      <c r="P297" s="8">
        <f>IF(Table1_2[[#This Row],[Sales]]=0, 0,Table1_2[[#This Row],[Profit]]/Table1_2[[#This Row],[Sales]])</f>
        <v>0.18423106151405882</v>
      </c>
      <c r="Q297" s="7">
        <f>Table1_2[[#This Row],[Sales]]/Table1_2[[#This Row],[Quantity]]</f>
        <v>1960.69</v>
      </c>
      <c r="R297" t="str">
        <f>IF(Table1_2[[#This Row],[Profit]]&gt;0, "YES", "NO")</f>
        <v>YES</v>
      </c>
      <c r="S297" t="str">
        <f>TEXT(Table1_2[[#This Row],[Order Date]], "MMM")</f>
        <v>Apr</v>
      </c>
      <c r="T297" t="str">
        <f>TEXT(Table1_2[[#This Row],[Ship Date]],"YYYY")</f>
        <v>2022</v>
      </c>
      <c r="U297" s="1">
        <f>MONTH(1&amp;Table1_2[[#This Row],[Month]])</f>
        <v>4</v>
      </c>
    </row>
    <row r="298" spans="1:21" x14ac:dyDescent="0.3">
      <c r="A298" t="s">
        <v>311</v>
      </c>
      <c r="B298" s="2">
        <v>44200</v>
      </c>
      <c r="C298" s="2">
        <v>45042</v>
      </c>
      <c r="D298" t="s">
        <v>349</v>
      </c>
      <c r="E298" t="s">
        <v>360</v>
      </c>
      <c r="F298" t="s">
        <v>362</v>
      </c>
      <c r="G298" s="1" t="s">
        <v>415</v>
      </c>
      <c r="H298" s="1" t="s">
        <v>376</v>
      </c>
      <c r="I298" s="1" t="s">
        <v>382</v>
      </c>
      <c r="J298" t="s">
        <v>372</v>
      </c>
      <c r="K298" t="str">
        <f ca="1">TRIM(Table1_2[[#This Row],[Sub-Category]])</f>
        <v>Accessories</v>
      </c>
      <c r="L298" s="5">
        <v>458.79</v>
      </c>
      <c r="M298">
        <v>9</v>
      </c>
      <c r="N298" s="17">
        <v>0.44</v>
      </c>
      <c r="O298" s="5">
        <v>-173</v>
      </c>
      <c r="P298" s="8">
        <f>IF(Table1_2[[#This Row],[Sales]]=0, 0,Table1_2[[#This Row],[Profit]]/Table1_2[[#This Row],[Sales]])</f>
        <v>-0.37707883781250678</v>
      </c>
      <c r="Q298" s="7">
        <f>Table1_2[[#This Row],[Sales]]/Table1_2[[#This Row],[Quantity]]</f>
        <v>50.976666666666667</v>
      </c>
      <c r="R298" t="str">
        <f>IF(Table1_2[[#This Row],[Profit]]&gt;0, "YES", "NO")</f>
        <v>NO</v>
      </c>
      <c r="S298" t="str">
        <f>TEXT(Table1_2[[#This Row],[Order Date]], "MMM")</f>
        <v>Jan</v>
      </c>
      <c r="T298" t="str">
        <f>TEXT(Table1_2[[#This Row],[Ship Date]],"YYYY")</f>
        <v>2023</v>
      </c>
      <c r="U298" s="1">
        <f>MONTH(1&amp;Table1_2[[#This Row],[Month]])</f>
        <v>1</v>
      </c>
    </row>
    <row r="299" spans="1:21" x14ac:dyDescent="0.3">
      <c r="A299" t="s">
        <v>312</v>
      </c>
      <c r="B299" s="2">
        <v>44401</v>
      </c>
      <c r="C299" s="2">
        <v>44264</v>
      </c>
      <c r="D299" t="s">
        <v>349</v>
      </c>
      <c r="E299" t="s">
        <v>356</v>
      </c>
      <c r="F299" t="s">
        <v>362</v>
      </c>
      <c r="G299" s="1" t="s">
        <v>366</v>
      </c>
      <c r="H299" s="1" t="s">
        <v>377</v>
      </c>
      <c r="I299" s="1" t="s">
        <v>383</v>
      </c>
      <c r="J299" t="s">
        <v>386</v>
      </c>
      <c r="K299" t="str">
        <f ca="1">TRIM(Table1_2[[#This Row],[Sub-Category]])</f>
        <v>Chairs</v>
      </c>
      <c r="L299" s="5">
        <v>849.16</v>
      </c>
      <c r="M299">
        <v>6</v>
      </c>
      <c r="N299" s="17">
        <v>0.13</v>
      </c>
      <c r="O299" s="5">
        <v>620.71</v>
      </c>
      <c r="P299" s="8">
        <f>IF(Table1_2[[#This Row],[Sales]]=0, 0,Table1_2[[#This Row],[Profit]]/Table1_2[[#This Row],[Sales]])</f>
        <v>0.73096942861180469</v>
      </c>
      <c r="Q299" s="7">
        <f>Table1_2[[#This Row],[Sales]]/Table1_2[[#This Row],[Quantity]]</f>
        <v>141.52666666666667</v>
      </c>
      <c r="R299" t="str">
        <f>IF(Table1_2[[#This Row],[Profit]]&gt;0, "YES", "NO")</f>
        <v>YES</v>
      </c>
      <c r="S299" t="str">
        <f>TEXT(Table1_2[[#This Row],[Order Date]], "MMM")</f>
        <v>Jul</v>
      </c>
      <c r="T299" t="str">
        <f>TEXT(Table1_2[[#This Row],[Ship Date]],"YYYY")</f>
        <v>2021</v>
      </c>
      <c r="U299" s="1">
        <f>MONTH(1&amp;Table1_2[[#This Row],[Month]])</f>
        <v>7</v>
      </c>
    </row>
    <row r="300" spans="1:21" x14ac:dyDescent="0.3">
      <c r="A300" t="s">
        <v>313</v>
      </c>
      <c r="B300" s="2">
        <v>44628</v>
      </c>
      <c r="C300" s="2">
        <v>44560</v>
      </c>
      <c r="D300" t="s">
        <v>349</v>
      </c>
      <c r="E300" t="s">
        <v>357</v>
      </c>
      <c r="F300" t="s">
        <v>362</v>
      </c>
      <c r="G300" s="1" t="s">
        <v>367</v>
      </c>
      <c r="H300" s="1" t="s">
        <v>378</v>
      </c>
      <c r="I300" s="1" t="s">
        <v>372</v>
      </c>
      <c r="J300" t="s">
        <v>386</v>
      </c>
      <c r="K300" t="str">
        <f ca="1">TRIM(Table1_2[[#This Row],[Sub-Category]])</f>
        <v>Phones</v>
      </c>
      <c r="L300" s="5">
        <v>1122</v>
      </c>
      <c r="M300">
        <v>3</v>
      </c>
      <c r="N300" s="17">
        <v>0.39</v>
      </c>
      <c r="O300" s="5">
        <v>-3</v>
      </c>
      <c r="P300" s="8">
        <f>IF(Table1_2[[#This Row],[Sales]]=0, 0,Table1_2[[#This Row],[Profit]]/Table1_2[[#This Row],[Sales]])</f>
        <v>-2.6737967914438501E-3</v>
      </c>
      <c r="Q300" s="7">
        <f>Table1_2[[#This Row],[Sales]]/Table1_2[[#This Row],[Quantity]]</f>
        <v>374</v>
      </c>
      <c r="R300" t="str">
        <f>IF(Table1_2[[#This Row],[Profit]]&gt;0, "YES", "NO")</f>
        <v>NO</v>
      </c>
      <c r="S300" t="str">
        <f>TEXT(Table1_2[[#This Row],[Order Date]], "MMM")</f>
        <v>Mar</v>
      </c>
      <c r="T300" t="str">
        <f>TEXT(Table1_2[[#This Row],[Ship Date]],"YYYY")</f>
        <v>2021</v>
      </c>
      <c r="U300" s="1">
        <f>MONTH(1&amp;Table1_2[[#This Row],[Month]])</f>
        <v>3</v>
      </c>
    </row>
    <row r="301" spans="1:21" x14ac:dyDescent="0.3">
      <c r="A301" t="s">
        <v>314</v>
      </c>
      <c r="B301" s="2">
        <v>44940</v>
      </c>
      <c r="C301" s="2">
        <v>44199</v>
      </c>
      <c r="D301" t="s">
        <v>349</v>
      </c>
      <c r="E301" t="s">
        <v>356</v>
      </c>
      <c r="F301" t="s">
        <v>363</v>
      </c>
      <c r="G301" s="1" t="s">
        <v>369</v>
      </c>
      <c r="H301" s="1" t="s">
        <v>374</v>
      </c>
      <c r="I301" s="1" t="s">
        <v>385</v>
      </c>
      <c r="J301" t="s">
        <v>388</v>
      </c>
      <c r="K301" t="str">
        <f ca="1">TRIM(Table1_2[[#This Row],[Sub-Category]])</f>
        <v>Accessories</v>
      </c>
      <c r="L301" s="5">
        <v>249.37</v>
      </c>
      <c r="M301">
        <v>6</v>
      </c>
      <c r="N301" s="17">
        <v>0.45</v>
      </c>
      <c r="O301" s="5">
        <v>586</v>
      </c>
      <c r="P301" s="8">
        <f>IF(Table1_2[[#This Row],[Sales]]=0, 0,Table1_2[[#This Row],[Profit]]/Table1_2[[#This Row],[Sales]])</f>
        <v>2.3499218029434172</v>
      </c>
      <c r="Q301" s="7">
        <f>Table1_2[[#This Row],[Sales]]/Table1_2[[#This Row],[Quantity]]</f>
        <v>41.561666666666667</v>
      </c>
      <c r="R301" t="str">
        <f>IF(Table1_2[[#This Row],[Profit]]&gt;0, "YES", "NO")</f>
        <v>YES</v>
      </c>
      <c r="S301" t="str">
        <f>TEXT(Table1_2[[#This Row],[Order Date]], "MMM")</f>
        <v>Jan</v>
      </c>
      <c r="T301" t="str">
        <f>TEXT(Table1_2[[#This Row],[Ship Date]],"YYYY")</f>
        <v>2021</v>
      </c>
      <c r="U301" s="1">
        <f>MONTH(1&amp;Table1_2[[#This Row],[Month]])</f>
        <v>1</v>
      </c>
    </row>
    <row r="302" spans="1:21" x14ac:dyDescent="0.3">
      <c r="A302" t="s">
        <v>315</v>
      </c>
      <c r="B302" s="2">
        <v>44652</v>
      </c>
      <c r="C302" s="2">
        <v>44207</v>
      </c>
      <c r="D302" t="s">
        <v>349</v>
      </c>
      <c r="E302" t="s">
        <v>354</v>
      </c>
      <c r="F302" t="s">
        <v>363</v>
      </c>
      <c r="G302" s="1" t="s">
        <v>373</v>
      </c>
      <c r="H302" s="1" t="s">
        <v>375</v>
      </c>
      <c r="I302" s="1" t="s">
        <v>381</v>
      </c>
      <c r="J302" t="s">
        <v>388</v>
      </c>
      <c r="K302" t="str">
        <f ca="1">TRIM(Table1_2[[#This Row],[Sub-Category]])</f>
        <v>Tables</v>
      </c>
      <c r="L302" s="5">
        <v>1635.47</v>
      </c>
      <c r="M302">
        <v>7</v>
      </c>
      <c r="N302" s="17">
        <v>0.04</v>
      </c>
      <c r="O302" s="5">
        <v>505</v>
      </c>
      <c r="P302" s="8">
        <f>IF(Table1_2[[#This Row],[Sales]]=0, 0,Table1_2[[#This Row],[Profit]]/Table1_2[[#This Row],[Sales]])</f>
        <v>0.30877973915755103</v>
      </c>
      <c r="Q302" s="7">
        <f>Table1_2[[#This Row],[Sales]]/Table1_2[[#This Row],[Quantity]]</f>
        <v>233.63857142857142</v>
      </c>
      <c r="R302" t="str">
        <f>IF(Table1_2[[#This Row],[Profit]]&gt;0, "YES", "NO")</f>
        <v>YES</v>
      </c>
      <c r="S302" t="str">
        <f>TEXT(Table1_2[[#This Row],[Order Date]], "MMM")</f>
        <v>Apr</v>
      </c>
      <c r="T302" t="str">
        <f>TEXT(Table1_2[[#This Row],[Ship Date]],"YYYY")</f>
        <v>2021</v>
      </c>
      <c r="U302" s="1">
        <f>MONTH(1&amp;Table1_2[[#This Row],[Month]])</f>
        <v>4</v>
      </c>
    </row>
    <row r="303" spans="1:21" x14ac:dyDescent="0.3">
      <c r="A303" t="s">
        <v>316</v>
      </c>
      <c r="B303" s="2">
        <v>44220</v>
      </c>
      <c r="C303" s="2">
        <v>44235</v>
      </c>
      <c r="D303" t="s">
        <v>350</v>
      </c>
      <c r="E303" t="s">
        <v>356</v>
      </c>
      <c r="F303" t="s">
        <v>362</v>
      </c>
      <c r="G303" s="1" t="s">
        <v>373</v>
      </c>
      <c r="H303" s="1" t="s">
        <v>375</v>
      </c>
      <c r="I303" s="1" t="s">
        <v>384</v>
      </c>
      <c r="J303" t="s">
        <v>388</v>
      </c>
      <c r="K303" t="str">
        <f ca="1">TRIM(Table1_2[[#This Row],[Sub-Category]])</f>
        <v>Binders</v>
      </c>
      <c r="L303" s="5">
        <v>556.62</v>
      </c>
      <c r="M303">
        <v>9</v>
      </c>
      <c r="N303" s="17">
        <v>0.46</v>
      </c>
      <c r="O303" s="5">
        <v>768.81</v>
      </c>
      <c r="P303" s="8">
        <f>IF(Table1_2[[#This Row],[Sales]]=0, 0,Table1_2[[#This Row],[Profit]]/Table1_2[[#This Row],[Sales]])</f>
        <v>1.3812115985771261</v>
      </c>
      <c r="Q303" s="7">
        <f>Table1_2[[#This Row],[Sales]]/Table1_2[[#This Row],[Quantity]]</f>
        <v>61.846666666666664</v>
      </c>
      <c r="R303" t="str">
        <f>IF(Table1_2[[#This Row],[Profit]]&gt;0, "YES", "NO")</f>
        <v>YES</v>
      </c>
      <c r="S303" t="str">
        <f>TEXT(Table1_2[[#This Row],[Order Date]], "MMM")</f>
        <v>Jan</v>
      </c>
      <c r="T303" t="str">
        <f>TEXT(Table1_2[[#This Row],[Ship Date]],"YYYY")</f>
        <v>2021</v>
      </c>
      <c r="U303" s="1">
        <f>MONTH(1&amp;Table1_2[[#This Row],[Month]])</f>
        <v>1</v>
      </c>
    </row>
    <row r="304" spans="1:21" x14ac:dyDescent="0.3">
      <c r="A304" t="s">
        <v>317</v>
      </c>
      <c r="B304" s="2">
        <v>44407</v>
      </c>
      <c r="C304" s="2">
        <v>44796</v>
      </c>
      <c r="D304" t="s">
        <v>350</v>
      </c>
      <c r="E304" t="s">
        <v>358</v>
      </c>
      <c r="F304" t="s">
        <v>362</v>
      </c>
      <c r="G304" s="1" t="s">
        <v>366</v>
      </c>
      <c r="H304" s="1" t="s">
        <v>415</v>
      </c>
      <c r="I304" s="1" t="s">
        <v>372</v>
      </c>
      <c r="J304" t="s">
        <v>372</v>
      </c>
      <c r="K304" t="str">
        <f ca="1">TRIM(Table1_2[[#This Row],[Sub-Category]])</f>
        <v>Chairs</v>
      </c>
      <c r="L304" s="5">
        <v>1103</v>
      </c>
      <c r="M304">
        <v>1</v>
      </c>
      <c r="N304" s="17">
        <v>0.16</v>
      </c>
      <c r="O304" s="5">
        <v>765.58</v>
      </c>
      <c r="P304" s="8">
        <f>IF(Table1_2[[#This Row],[Sales]]=0, 0,Table1_2[[#This Row],[Profit]]/Table1_2[[#This Row],[Sales]])</f>
        <v>0.69408884859474163</v>
      </c>
      <c r="Q304" s="7">
        <f>Table1_2[[#This Row],[Sales]]/Table1_2[[#This Row],[Quantity]]</f>
        <v>1103</v>
      </c>
      <c r="R304" t="str">
        <f>IF(Table1_2[[#This Row],[Profit]]&gt;0, "YES", "NO")</f>
        <v>YES</v>
      </c>
      <c r="S304" t="str">
        <f>TEXT(Table1_2[[#This Row],[Order Date]], "MMM")</f>
        <v>Jul</v>
      </c>
      <c r="T304" t="str">
        <f>TEXT(Table1_2[[#This Row],[Ship Date]],"YYYY")</f>
        <v>2022</v>
      </c>
      <c r="U304" s="1">
        <f>MONTH(1&amp;Table1_2[[#This Row],[Month]])</f>
        <v>7</v>
      </c>
    </row>
    <row r="305" spans="1:21" x14ac:dyDescent="0.3">
      <c r="A305" t="s">
        <v>318</v>
      </c>
      <c r="B305" s="2">
        <v>45176</v>
      </c>
      <c r="C305" s="2">
        <v>45092</v>
      </c>
      <c r="D305" t="s">
        <v>350</v>
      </c>
      <c r="E305" t="s">
        <v>353</v>
      </c>
      <c r="F305" t="s">
        <v>363</v>
      </c>
      <c r="G305" s="1" t="s">
        <v>366</v>
      </c>
      <c r="H305" s="1" t="s">
        <v>377</v>
      </c>
      <c r="I305" s="1" t="s">
        <v>384</v>
      </c>
      <c r="J305" t="s">
        <v>386</v>
      </c>
      <c r="K305" t="str">
        <f ca="1">TRIM(Table1_2[[#This Row],[Sub-Category]])</f>
        <v>Binders</v>
      </c>
      <c r="L305" s="5">
        <v>1103.77</v>
      </c>
      <c r="M305">
        <v>4</v>
      </c>
      <c r="N305" s="17">
        <v>0.23</v>
      </c>
      <c r="O305" s="5">
        <v>74</v>
      </c>
      <c r="P305" s="8">
        <f>IF(Table1_2[[#This Row],[Sales]]=0, 0,Table1_2[[#This Row],[Profit]]/Table1_2[[#This Row],[Sales]])</f>
        <v>6.7042952789077431E-2</v>
      </c>
      <c r="Q305" s="7">
        <f>Table1_2[[#This Row],[Sales]]/Table1_2[[#This Row],[Quantity]]</f>
        <v>275.9425</v>
      </c>
      <c r="R305" t="str">
        <f>IF(Table1_2[[#This Row],[Profit]]&gt;0, "YES", "NO")</f>
        <v>YES</v>
      </c>
      <c r="S305" t="str">
        <f>TEXT(Table1_2[[#This Row],[Order Date]], "MMM")</f>
        <v>Sep</v>
      </c>
      <c r="T305" t="str">
        <f>TEXT(Table1_2[[#This Row],[Ship Date]],"YYYY")</f>
        <v>2023</v>
      </c>
      <c r="U305" s="1">
        <f>MONTH(1&amp;Table1_2[[#This Row],[Month]])</f>
        <v>9</v>
      </c>
    </row>
    <row r="306" spans="1:21" x14ac:dyDescent="0.3">
      <c r="A306" t="s">
        <v>319</v>
      </c>
      <c r="B306" s="2">
        <v>45185</v>
      </c>
      <c r="C306" s="2">
        <v>44971</v>
      </c>
      <c r="D306" t="s">
        <v>350</v>
      </c>
      <c r="E306" t="s">
        <v>357</v>
      </c>
      <c r="F306" t="s">
        <v>364</v>
      </c>
      <c r="G306" s="1" t="s">
        <v>366</v>
      </c>
      <c r="H306" s="1" t="s">
        <v>379</v>
      </c>
      <c r="I306" s="1" t="s">
        <v>372</v>
      </c>
      <c r="J306" t="s">
        <v>387</v>
      </c>
      <c r="K306" t="str">
        <f ca="1">TRIM(Table1_2[[#This Row],[Sub-Category]])</f>
        <v>Phones</v>
      </c>
      <c r="L306" s="5">
        <v>1209.25</v>
      </c>
      <c r="M306">
        <v>2</v>
      </c>
      <c r="N306" s="17">
        <v>0.05</v>
      </c>
      <c r="O306" s="5">
        <v>566.45000000000005</v>
      </c>
      <c r="P306" s="8">
        <f>IF(Table1_2[[#This Row],[Sales]]=0, 0,Table1_2[[#This Row],[Profit]]/Table1_2[[#This Row],[Sales]])</f>
        <v>0.46843084556543318</v>
      </c>
      <c r="Q306" s="7">
        <f>Table1_2[[#This Row],[Sales]]/Table1_2[[#This Row],[Quantity]]</f>
        <v>604.625</v>
      </c>
      <c r="R306" t="str">
        <f>IF(Table1_2[[#This Row],[Profit]]&gt;0, "YES", "NO")</f>
        <v>YES</v>
      </c>
      <c r="S306" t="str">
        <f>TEXT(Table1_2[[#This Row],[Order Date]], "MMM")</f>
        <v>Sep</v>
      </c>
      <c r="T306" t="str">
        <f>TEXT(Table1_2[[#This Row],[Ship Date]],"YYYY")</f>
        <v>2023</v>
      </c>
      <c r="U306" s="1">
        <f>MONTH(1&amp;Table1_2[[#This Row],[Month]])</f>
        <v>9</v>
      </c>
    </row>
    <row r="307" spans="1:21" x14ac:dyDescent="0.3">
      <c r="A307" t="s">
        <v>320</v>
      </c>
      <c r="B307" s="2">
        <v>44574</v>
      </c>
      <c r="C307" s="2">
        <v>44844</v>
      </c>
      <c r="D307" t="s">
        <v>349</v>
      </c>
      <c r="E307" t="s">
        <v>360</v>
      </c>
      <c r="F307" t="s">
        <v>362</v>
      </c>
      <c r="G307" s="1" t="s">
        <v>369</v>
      </c>
      <c r="H307" s="1" t="s">
        <v>374</v>
      </c>
      <c r="I307" s="1" t="s">
        <v>381</v>
      </c>
      <c r="J307" t="s">
        <v>388</v>
      </c>
      <c r="K307" t="str">
        <f ca="1">TRIM(Table1_2[[#This Row],[Sub-Category]])</f>
        <v>Accessories</v>
      </c>
      <c r="L307" s="5">
        <v>120.42</v>
      </c>
      <c r="M307">
        <v>6</v>
      </c>
      <c r="N307" s="17">
        <v>0.5</v>
      </c>
      <c r="O307" s="5">
        <v>117</v>
      </c>
      <c r="P307" s="8">
        <f>IF(Table1_2[[#This Row],[Sales]]=0, 0,Table1_2[[#This Row],[Profit]]/Table1_2[[#This Row],[Sales]])</f>
        <v>0.97159940209267559</v>
      </c>
      <c r="Q307" s="7">
        <f>Table1_2[[#This Row],[Sales]]/Table1_2[[#This Row],[Quantity]]</f>
        <v>20.07</v>
      </c>
      <c r="R307" t="str">
        <f>IF(Table1_2[[#This Row],[Profit]]&gt;0, "YES", "NO")</f>
        <v>YES</v>
      </c>
      <c r="S307" t="str">
        <f>TEXT(Table1_2[[#This Row],[Order Date]], "MMM")</f>
        <v>Jan</v>
      </c>
      <c r="T307" t="str">
        <f>TEXT(Table1_2[[#This Row],[Ship Date]],"YYYY")</f>
        <v>2022</v>
      </c>
      <c r="U307" s="1">
        <f>MONTH(1&amp;Table1_2[[#This Row],[Month]])</f>
        <v>1</v>
      </c>
    </row>
    <row r="308" spans="1:21" x14ac:dyDescent="0.3">
      <c r="A308" t="s">
        <v>321</v>
      </c>
      <c r="B308" s="2">
        <v>45001</v>
      </c>
      <c r="C308" s="2">
        <v>44976</v>
      </c>
      <c r="D308" t="s">
        <v>349</v>
      </c>
      <c r="E308" t="s">
        <v>357</v>
      </c>
      <c r="F308" t="s">
        <v>364</v>
      </c>
      <c r="G308" s="1" t="s">
        <v>368</v>
      </c>
      <c r="H308" s="1" t="s">
        <v>374</v>
      </c>
      <c r="I308" s="1" t="s">
        <v>384</v>
      </c>
      <c r="J308" t="s">
        <v>388</v>
      </c>
      <c r="K308" t="str">
        <f ca="1">TRIM(Table1_2[[#This Row],[Sub-Category]])</f>
        <v>Binders</v>
      </c>
      <c r="L308" s="5">
        <v>346</v>
      </c>
      <c r="M308">
        <v>5</v>
      </c>
      <c r="N308" s="17">
        <v>0.34</v>
      </c>
      <c r="O308" s="5">
        <v>429.2</v>
      </c>
      <c r="P308" s="8">
        <f>IF(Table1_2[[#This Row],[Sales]]=0, 0,Table1_2[[#This Row],[Profit]]/Table1_2[[#This Row],[Sales]])</f>
        <v>1.2404624277456646</v>
      </c>
      <c r="Q308" s="7">
        <f>Table1_2[[#This Row],[Sales]]/Table1_2[[#This Row],[Quantity]]</f>
        <v>69.2</v>
      </c>
      <c r="R308" t="str">
        <f>IF(Table1_2[[#This Row],[Profit]]&gt;0, "YES", "NO")</f>
        <v>YES</v>
      </c>
      <c r="S308" t="str">
        <f>TEXT(Table1_2[[#This Row],[Order Date]], "MMM")</f>
        <v>Mar</v>
      </c>
      <c r="T308" t="str">
        <f>TEXT(Table1_2[[#This Row],[Ship Date]],"YYYY")</f>
        <v>2023</v>
      </c>
      <c r="U308" s="1">
        <f>MONTH(1&amp;Table1_2[[#This Row],[Month]])</f>
        <v>3</v>
      </c>
    </row>
    <row r="309" spans="1:21" x14ac:dyDescent="0.3">
      <c r="A309" t="s">
        <v>322</v>
      </c>
      <c r="B309" s="2">
        <v>44916</v>
      </c>
      <c r="C309" s="2">
        <v>44369</v>
      </c>
      <c r="D309" t="s">
        <v>351</v>
      </c>
      <c r="E309" t="s">
        <v>360</v>
      </c>
      <c r="F309" t="s">
        <v>362</v>
      </c>
      <c r="G309" s="1" t="s">
        <v>369</v>
      </c>
      <c r="H309" s="1" t="s">
        <v>377</v>
      </c>
      <c r="I309" s="1" t="s">
        <v>384</v>
      </c>
      <c r="J309" t="s">
        <v>387</v>
      </c>
      <c r="K309" t="str">
        <f ca="1">TRIM(Table1_2[[#This Row],[Sub-Category]])</f>
        <v>Binders</v>
      </c>
      <c r="L309" s="5">
        <v>330.77</v>
      </c>
      <c r="M309">
        <v>5</v>
      </c>
      <c r="N309" s="17">
        <v>0.3</v>
      </c>
      <c r="O309" s="5">
        <v>397.75</v>
      </c>
      <c r="P309" s="8">
        <f>IF(Table1_2[[#This Row],[Sales]]=0, 0,Table1_2[[#This Row],[Profit]]/Table1_2[[#This Row],[Sales]])</f>
        <v>1.2024972034948758</v>
      </c>
      <c r="Q309" s="7">
        <f>Table1_2[[#This Row],[Sales]]/Table1_2[[#This Row],[Quantity]]</f>
        <v>66.153999999999996</v>
      </c>
      <c r="R309" t="str">
        <f>IF(Table1_2[[#This Row],[Profit]]&gt;0, "YES", "NO")</f>
        <v>YES</v>
      </c>
      <c r="S309" t="str">
        <f>TEXT(Table1_2[[#This Row],[Order Date]], "MMM")</f>
        <v>Dec</v>
      </c>
      <c r="T309" t="str">
        <f>TEXT(Table1_2[[#This Row],[Ship Date]],"YYYY")</f>
        <v>2021</v>
      </c>
      <c r="U309" s="1">
        <f>MONTH(1&amp;Table1_2[[#This Row],[Month]])</f>
        <v>12</v>
      </c>
    </row>
    <row r="310" spans="1:21" x14ac:dyDescent="0.3">
      <c r="A310" t="s">
        <v>323</v>
      </c>
      <c r="B310" s="2">
        <v>45128</v>
      </c>
      <c r="C310" s="2">
        <v>45037</v>
      </c>
      <c r="D310" t="s">
        <v>350</v>
      </c>
      <c r="E310" t="s">
        <v>357</v>
      </c>
      <c r="F310" t="s">
        <v>364</v>
      </c>
      <c r="G310" s="1" t="s">
        <v>365</v>
      </c>
      <c r="H310" s="1" t="s">
        <v>375</v>
      </c>
      <c r="I310" s="1" t="s">
        <v>385</v>
      </c>
      <c r="J310" t="s">
        <v>387</v>
      </c>
      <c r="K310" t="str">
        <f ca="1">TRIM(Table1_2[[#This Row],[Sub-Category]])</f>
        <v>Accessories</v>
      </c>
      <c r="L310" s="5">
        <v>611</v>
      </c>
      <c r="M310">
        <v>9</v>
      </c>
      <c r="N310" s="17">
        <v>0.57999999999999996</v>
      </c>
      <c r="O310" s="5">
        <v>-145</v>
      </c>
      <c r="P310" s="8">
        <f>IF(Table1_2[[#This Row],[Sales]]=0, 0,Table1_2[[#This Row],[Profit]]/Table1_2[[#This Row],[Sales]])</f>
        <v>-0.23731587561374795</v>
      </c>
      <c r="Q310" s="7">
        <f>Table1_2[[#This Row],[Sales]]/Table1_2[[#This Row],[Quantity]]</f>
        <v>67.888888888888886</v>
      </c>
      <c r="R310" t="str">
        <f>IF(Table1_2[[#This Row],[Profit]]&gt;0, "YES", "NO")</f>
        <v>NO</v>
      </c>
      <c r="S310" t="str">
        <f>TEXT(Table1_2[[#This Row],[Order Date]], "MMM")</f>
        <v>Jul</v>
      </c>
      <c r="T310" t="str">
        <f>TEXT(Table1_2[[#This Row],[Ship Date]],"YYYY")</f>
        <v>2023</v>
      </c>
      <c r="U310" s="1">
        <f>MONTH(1&amp;Table1_2[[#This Row],[Month]])</f>
        <v>7</v>
      </c>
    </row>
    <row r="311" spans="1:21" x14ac:dyDescent="0.3">
      <c r="A311" t="s">
        <v>324</v>
      </c>
      <c r="B311" s="2">
        <v>45084</v>
      </c>
      <c r="C311" s="2">
        <v>45236</v>
      </c>
      <c r="D311" t="s">
        <v>352</v>
      </c>
      <c r="E311" t="s">
        <v>356</v>
      </c>
      <c r="F311" t="s">
        <v>361</v>
      </c>
      <c r="G311" s="1" t="s">
        <v>370</v>
      </c>
      <c r="H311" s="1" t="s">
        <v>380</v>
      </c>
      <c r="I311" s="1" t="s">
        <v>383</v>
      </c>
      <c r="J311" t="s">
        <v>388</v>
      </c>
      <c r="K311" t="str">
        <f ca="1">TRIM(Table1_2[[#This Row],[Sub-Category]])</f>
        <v>Phones</v>
      </c>
      <c r="L311" s="5">
        <v>298.38</v>
      </c>
      <c r="M311">
        <v>5</v>
      </c>
      <c r="N311" s="17">
        <v>0.2</v>
      </c>
      <c r="O311" s="5">
        <v>-194.82</v>
      </c>
      <c r="P311" s="8">
        <f>IF(Table1_2[[#This Row],[Sales]]=0, 0,Table1_2[[#This Row],[Profit]]/Table1_2[[#This Row],[Sales]])</f>
        <v>-0.65292579931630801</v>
      </c>
      <c r="Q311" s="7">
        <f>Table1_2[[#This Row],[Sales]]/Table1_2[[#This Row],[Quantity]]</f>
        <v>59.676000000000002</v>
      </c>
      <c r="R311" t="str">
        <f>IF(Table1_2[[#This Row],[Profit]]&gt;0, "YES", "NO")</f>
        <v>NO</v>
      </c>
      <c r="S311" t="str">
        <f>TEXT(Table1_2[[#This Row],[Order Date]], "MMM")</f>
        <v>Jun</v>
      </c>
      <c r="T311" t="str">
        <f>TEXT(Table1_2[[#This Row],[Ship Date]],"YYYY")</f>
        <v>2023</v>
      </c>
      <c r="U311" s="1">
        <f>MONTH(1&amp;Table1_2[[#This Row],[Month]])</f>
        <v>6</v>
      </c>
    </row>
    <row r="312" spans="1:21" x14ac:dyDescent="0.3">
      <c r="A312" t="s">
        <v>325</v>
      </c>
      <c r="B312" s="2">
        <v>44825</v>
      </c>
      <c r="C312" s="2">
        <v>44293</v>
      </c>
      <c r="D312" t="s">
        <v>352</v>
      </c>
      <c r="E312" t="s">
        <v>354</v>
      </c>
      <c r="F312" t="s">
        <v>361</v>
      </c>
      <c r="G312" s="1" t="s">
        <v>365</v>
      </c>
      <c r="H312" s="1" t="s">
        <v>374</v>
      </c>
      <c r="I312" s="1" t="s">
        <v>383</v>
      </c>
      <c r="J312" t="s">
        <v>386</v>
      </c>
      <c r="K312" t="str">
        <f ca="1">TRIM(Table1_2[[#This Row],[Sub-Category]])</f>
        <v>Phones</v>
      </c>
      <c r="L312" s="5">
        <v>1844.62</v>
      </c>
      <c r="M312">
        <v>4</v>
      </c>
      <c r="N312" s="17">
        <v>0.53</v>
      </c>
      <c r="O312" s="5">
        <v>-142.24</v>
      </c>
      <c r="P312" s="8">
        <f>IF(Table1_2[[#This Row],[Sales]]=0, 0,Table1_2[[#This Row],[Profit]]/Table1_2[[#This Row],[Sales]])</f>
        <v>-7.7110732833862813E-2</v>
      </c>
      <c r="Q312" s="7">
        <f>Table1_2[[#This Row],[Sales]]/Table1_2[[#This Row],[Quantity]]</f>
        <v>461.15499999999997</v>
      </c>
      <c r="R312" t="str">
        <f>IF(Table1_2[[#This Row],[Profit]]&gt;0, "YES", "NO")</f>
        <v>NO</v>
      </c>
      <c r="S312" t="str">
        <f>TEXT(Table1_2[[#This Row],[Order Date]], "MMM")</f>
        <v>Sep</v>
      </c>
      <c r="T312" t="str">
        <f>TEXT(Table1_2[[#This Row],[Ship Date]],"YYYY")</f>
        <v>2021</v>
      </c>
      <c r="U312" s="1">
        <f>MONTH(1&amp;Table1_2[[#This Row],[Month]])</f>
        <v>9</v>
      </c>
    </row>
    <row r="313" spans="1:21" x14ac:dyDescent="0.3">
      <c r="A313" t="s">
        <v>326</v>
      </c>
      <c r="B313" s="2">
        <v>44591</v>
      </c>
      <c r="C313" s="2">
        <v>44667</v>
      </c>
      <c r="D313" t="s">
        <v>350</v>
      </c>
      <c r="E313" t="s">
        <v>355</v>
      </c>
      <c r="F313" t="s">
        <v>362</v>
      </c>
      <c r="G313" s="1" t="s">
        <v>415</v>
      </c>
      <c r="H313" s="1" t="s">
        <v>379</v>
      </c>
      <c r="I313" s="1" t="s">
        <v>384</v>
      </c>
      <c r="J313" t="s">
        <v>386</v>
      </c>
      <c r="K313" t="str">
        <f ca="1">TRIM(Table1_2[[#This Row],[Sub-Category]])</f>
        <v>NA</v>
      </c>
      <c r="L313" s="5">
        <v>1031</v>
      </c>
      <c r="M313">
        <v>1</v>
      </c>
      <c r="N313" s="17">
        <v>0.43</v>
      </c>
      <c r="O313" s="5">
        <v>-72.06</v>
      </c>
      <c r="P313" s="8">
        <f>IF(Table1_2[[#This Row],[Sales]]=0, 0,Table1_2[[#This Row],[Profit]]/Table1_2[[#This Row],[Sales]])</f>
        <v>-6.9893307468477203E-2</v>
      </c>
      <c r="Q313" s="7">
        <f>Table1_2[[#This Row],[Sales]]/Table1_2[[#This Row],[Quantity]]</f>
        <v>1031</v>
      </c>
      <c r="R313" t="str">
        <f>IF(Table1_2[[#This Row],[Profit]]&gt;0, "YES", "NO")</f>
        <v>NO</v>
      </c>
      <c r="S313" t="str">
        <f>TEXT(Table1_2[[#This Row],[Order Date]], "MMM")</f>
        <v>Jan</v>
      </c>
      <c r="T313" t="str">
        <f>TEXT(Table1_2[[#This Row],[Ship Date]],"YYYY")</f>
        <v>2022</v>
      </c>
      <c r="U313" s="1">
        <f>MONTH(1&amp;Table1_2[[#This Row],[Month]])</f>
        <v>1</v>
      </c>
    </row>
    <row r="314" spans="1:21" x14ac:dyDescent="0.3">
      <c r="A314" t="s">
        <v>327</v>
      </c>
      <c r="B314" s="2">
        <v>44823</v>
      </c>
      <c r="C314" s="2">
        <v>45028</v>
      </c>
      <c r="D314" t="s">
        <v>351</v>
      </c>
      <c r="E314" t="s">
        <v>357</v>
      </c>
      <c r="F314" t="s">
        <v>363</v>
      </c>
      <c r="G314" s="1" t="s">
        <v>369</v>
      </c>
      <c r="H314" s="1" t="s">
        <v>414</v>
      </c>
      <c r="I314" s="1" t="s">
        <v>372</v>
      </c>
      <c r="J314" t="s">
        <v>372</v>
      </c>
      <c r="K314" t="str">
        <f ca="1">TRIM(Table1_2[[#This Row],[Sub-Category]])</f>
        <v>NA</v>
      </c>
      <c r="L314" s="5">
        <v>1250.9100000000001</v>
      </c>
      <c r="M314">
        <v>3</v>
      </c>
      <c r="N314" s="17">
        <v>0.56000000000000005</v>
      </c>
      <c r="O314" s="5">
        <v>58</v>
      </c>
      <c r="P314" s="8">
        <f>IF(Table1_2[[#This Row],[Sales]]=0, 0,Table1_2[[#This Row],[Profit]]/Table1_2[[#This Row],[Sales]])</f>
        <v>4.6366245373368184E-2</v>
      </c>
      <c r="Q314" s="7">
        <f>Table1_2[[#This Row],[Sales]]/Table1_2[[#This Row],[Quantity]]</f>
        <v>416.97</v>
      </c>
      <c r="R314" t="str">
        <f>IF(Table1_2[[#This Row],[Profit]]&gt;0, "YES", "NO")</f>
        <v>YES</v>
      </c>
      <c r="S314" t="str">
        <f>TEXT(Table1_2[[#This Row],[Order Date]], "MMM")</f>
        <v>Sep</v>
      </c>
      <c r="T314" t="str">
        <f>TEXT(Table1_2[[#This Row],[Ship Date]],"YYYY")</f>
        <v>2023</v>
      </c>
      <c r="U314" s="1">
        <f>MONTH(1&amp;Table1_2[[#This Row],[Month]])</f>
        <v>9</v>
      </c>
    </row>
    <row r="315" spans="1:21" x14ac:dyDescent="0.3">
      <c r="A315" t="s">
        <v>328</v>
      </c>
      <c r="B315" s="2">
        <v>44516</v>
      </c>
      <c r="C315" s="2">
        <v>44674</v>
      </c>
      <c r="D315" t="s">
        <v>349</v>
      </c>
      <c r="E315" t="s">
        <v>358</v>
      </c>
      <c r="F315" t="s">
        <v>364</v>
      </c>
      <c r="G315" s="1" t="s">
        <v>373</v>
      </c>
      <c r="H315" s="1" t="s">
        <v>415</v>
      </c>
      <c r="I315" s="1" t="s">
        <v>381</v>
      </c>
      <c r="J315" t="s">
        <v>387</v>
      </c>
      <c r="K315" t="str">
        <f ca="1">TRIM(Table1_2[[#This Row],[Sub-Category]])</f>
        <v>Tables</v>
      </c>
      <c r="L315" s="5">
        <v>721.4</v>
      </c>
      <c r="M315">
        <v>9</v>
      </c>
      <c r="N315" s="17">
        <v>0.54</v>
      </c>
      <c r="O315" s="5">
        <v>706.96</v>
      </c>
      <c r="P315" s="8">
        <f>IF(Table1_2[[#This Row],[Sales]]=0, 0,Table1_2[[#This Row],[Profit]]/Table1_2[[#This Row],[Sales]])</f>
        <v>0.97998336567784872</v>
      </c>
      <c r="Q315" s="7">
        <f>Table1_2[[#This Row],[Sales]]/Table1_2[[#This Row],[Quantity]]</f>
        <v>80.155555555555551</v>
      </c>
      <c r="R315" t="str">
        <f>IF(Table1_2[[#This Row],[Profit]]&gt;0, "YES", "NO")</f>
        <v>YES</v>
      </c>
      <c r="S315" t="str">
        <f>TEXT(Table1_2[[#This Row],[Order Date]], "MMM")</f>
        <v>Nov</v>
      </c>
      <c r="T315" t="str">
        <f>TEXT(Table1_2[[#This Row],[Ship Date]],"YYYY")</f>
        <v>2022</v>
      </c>
      <c r="U315" s="1">
        <f>MONTH(1&amp;Table1_2[[#This Row],[Month]])</f>
        <v>11</v>
      </c>
    </row>
    <row r="316" spans="1:21" x14ac:dyDescent="0.3">
      <c r="A316" t="s">
        <v>329</v>
      </c>
      <c r="B316" s="2">
        <v>44545</v>
      </c>
      <c r="C316" s="2">
        <v>45038</v>
      </c>
      <c r="D316" t="s">
        <v>350</v>
      </c>
      <c r="E316" t="s">
        <v>359</v>
      </c>
      <c r="F316" t="s">
        <v>362</v>
      </c>
      <c r="G316" s="1" t="s">
        <v>366</v>
      </c>
      <c r="H316" s="1" t="s">
        <v>378</v>
      </c>
      <c r="I316" s="1" t="s">
        <v>372</v>
      </c>
      <c r="J316" t="s">
        <v>387</v>
      </c>
      <c r="K316" t="str">
        <f ca="1">TRIM(Table1_2[[#This Row],[Sub-Category]])</f>
        <v>Binders</v>
      </c>
      <c r="L316" s="5">
        <v>559.73</v>
      </c>
      <c r="M316">
        <v>5</v>
      </c>
      <c r="N316" s="17">
        <v>0.59</v>
      </c>
      <c r="O316" s="5">
        <v>318.63</v>
      </c>
      <c r="P316" s="8">
        <f>IF(Table1_2[[#This Row],[Sales]]=0, 0,Table1_2[[#This Row],[Profit]]/Table1_2[[#This Row],[Sales]])</f>
        <v>0.56925660586354132</v>
      </c>
      <c r="Q316" s="7">
        <f>Table1_2[[#This Row],[Sales]]/Table1_2[[#This Row],[Quantity]]</f>
        <v>111.946</v>
      </c>
      <c r="R316" t="str">
        <f>IF(Table1_2[[#This Row],[Profit]]&gt;0, "YES", "NO")</f>
        <v>YES</v>
      </c>
      <c r="S316" t="str">
        <f>TEXT(Table1_2[[#This Row],[Order Date]], "MMM")</f>
        <v>Dec</v>
      </c>
      <c r="T316" t="str">
        <f>TEXT(Table1_2[[#This Row],[Ship Date]],"YYYY")</f>
        <v>2023</v>
      </c>
      <c r="U316" s="1">
        <f>MONTH(1&amp;Table1_2[[#This Row],[Month]])</f>
        <v>12</v>
      </c>
    </row>
    <row r="317" spans="1:21" x14ac:dyDescent="0.3">
      <c r="A317" t="s">
        <v>330</v>
      </c>
      <c r="B317" s="2">
        <v>44805</v>
      </c>
      <c r="C317" s="2">
        <v>45133</v>
      </c>
      <c r="D317" t="s">
        <v>349</v>
      </c>
      <c r="E317" t="s">
        <v>359</v>
      </c>
      <c r="F317" t="s">
        <v>361</v>
      </c>
      <c r="G317" s="1" t="s">
        <v>371</v>
      </c>
      <c r="H317" s="1" t="s">
        <v>375</v>
      </c>
      <c r="I317" s="1" t="s">
        <v>383</v>
      </c>
      <c r="J317" t="s">
        <v>388</v>
      </c>
      <c r="K317" t="str">
        <f ca="1">TRIM(Table1_2[[#This Row],[Sub-Category]])</f>
        <v>Tables</v>
      </c>
      <c r="L317" s="5">
        <v>1011</v>
      </c>
      <c r="M317">
        <v>9</v>
      </c>
      <c r="N317" s="17">
        <v>0.08</v>
      </c>
      <c r="O317" s="5">
        <v>597</v>
      </c>
      <c r="P317" s="8">
        <f>IF(Table1_2[[#This Row],[Sales]]=0, 0,Table1_2[[#This Row],[Profit]]/Table1_2[[#This Row],[Sales]])</f>
        <v>0.59050445103857563</v>
      </c>
      <c r="Q317" s="7">
        <f>Table1_2[[#This Row],[Sales]]/Table1_2[[#This Row],[Quantity]]</f>
        <v>112.33333333333333</v>
      </c>
      <c r="R317" t="str">
        <f>IF(Table1_2[[#This Row],[Profit]]&gt;0, "YES", "NO")</f>
        <v>YES</v>
      </c>
      <c r="S317" t="str">
        <f>TEXT(Table1_2[[#This Row],[Order Date]], "MMM")</f>
        <v>Sep</v>
      </c>
      <c r="T317" t="str">
        <f>TEXT(Table1_2[[#This Row],[Ship Date]],"YYYY")</f>
        <v>2023</v>
      </c>
      <c r="U317" s="1">
        <f>MONTH(1&amp;Table1_2[[#This Row],[Month]])</f>
        <v>9</v>
      </c>
    </row>
    <row r="318" spans="1:21" x14ac:dyDescent="0.3">
      <c r="A318" t="s">
        <v>331</v>
      </c>
      <c r="B318" s="2">
        <v>44768</v>
      </c>
      <c r="C318" s="2">
        <v>44672</v>
      </c>
      <c r="D318" t="s">
        <v>350</v>
      </c>
      <c r="E318" t="s">
        <v>357</v>
      </c>
      <c r="F318" t="s">
        <v>362</v>
      </c>
      <c r="G318" s="1" t="s">
        <v>370</v>
      </c>
      <c r="H318" s="1" t="s">
        <v>415</v>
      </c>
      <c r="I318" s="1" t="s">
        <v>383</v>
      </c>
      <c r="J318" t="s">
        <v>372</v>
      </c>
      <c r="K318" t="str">
        <f ca="1">TRIM(Table1_2[[#This Row],[Sub-Category]])</f>
        <v>Binders</v>
      </c>
      <c r="L318" s="5">
        <v>596</v>
      </c>
      <c r="M318">
        <v>5</v>
      </c>
      <c r="N318" s="17">
        <v>0.48</v>
      </c>
      <c r="O318" s="5">
        <v>638.30999999999995</v>
      </c>
      <c r="P318" s="8">
        <f>IF(Table1_2[[#This Row],[Sales]]=0, 0,Table1_2[[#This Row],[Profit]]/Table1_2[[#This Row],[Sales]])</f>
        <v>1.070989932885906</v>
      </c>
      <c r="Q318" s="7">
        <f>Table1_2[[#This Row],[Sales]]/Table1_2[[#This Row],[Quantity]]</f>
        <v>119.2</v>
      </c>
      <c r="R318" t="str">
        <f>IF(Table1_2[[#This Row],[Profit]]&gt;0, "YES", "NO")</f>
        <v>YES</v>
      </c>
      <c r="S318" t="str">
        <f>TEXT(Table1_2[[#This Row],[Order Date]], "MMM")</f>
        <v>Jul</v>
      </c>
      <c r="T318" t="str">
        <f>TEXT(Table1_2[[#This Row],[Ship Date]],"YYYY")</f>
        <v>2022</v>
      </c>
      <c r="U318" s="1">
        <f>MONTH(1&amp;Table1_2[[#This Row],[Month]])</f>
        <v>7</v>
      </c>
    </row>
    <row r="319" spans="1:21" x14ac:dyDescent="0.3">
      <c r="A319" t="s">
        <v>332</v>
      </c>
      <c r="B319" s="2">
        <v>44777</v>
      </c>
      <c r="C319" s="2">
        <v>44257</v>
      </c>
      <c r="D319" t="s">
        <v>349</v>
      </c>
      <c r="E319" t="s">
        <v>354</v>
      </c>
      <c r="F319" t="s">
        <v>363</v>
      </c>
      <c r="G319" s="1" t="s">
        <v>366</v>
      </c>
      <c r="H319" s="1" t="s">
        <v>380</v>
      </c>
      <c r="I319" s="1" t="s">
        <v>383</v>
      </c>
      <c r="J319" t="s">
        <v>372</v>
      </c>
      <c r="K319" t="str">
        <f ca="1">TRIM(Table1_2[[#This Row],[Sub-Category]])</f>
        <v>Tables</v>
      </c>
      <c r="L319" s="5">
        <v>694</v>
      </c>
      <c r="M319">
        <v>5</v>
      </c>
      <c r="N319" s="17">
        <v>0.48</v>
      </c>
      <c r="O319" s="5">
        <v>535</v>
      </c>
      <c r="P319" s="8">
        <f>IF(Table1_2[[#This Row],[Sales]]=0, 0,Table1_2[[#This Row],[Profit]]/Table1_2[[#This Row],[Sales]])</f>
        <v>0.77089337175792505</v>
      </c>
      <c r="Q319" s="7">
        <f>Table1_2[[#This Row],[Sales]]/Table1_2[[#This Row],[Quantity]]</f>
        <v>138.80000000000001</v>
      </c>
      <c r="R319" t="str">
        <f>IF(Table1_2[[#This Row],[Profit]]&gt;0, "YES", "NO")</f>
        <v>YES</v>
      </c>
      <c r="S319" t="str">
        <f>TEXT(Table1_2[[#This Row],[Order Date]], "MMM")</f>
        <v>Aug</v>
      </c>
      <c r="T319" t="str">
        <f>TEXT(Table1_2[[#This Row],[Ship Date]],"YYYY")</f>
        <v>2021</v>
      </c>
      <c r="U319" s="1">
        <f>MONTH(1&amp;Table1_2[[#This Row],[Month]])</f>
        <v>8</v>
      </c>
    </row>
    <row r="320" spans="1:21" x14ac:dyDescent="0.3">
      <c r="A320" t="s">
        <v>333</v>
      </c>
      <c r="B320" s="2">
        <v>44581</v>
      </c>
      <c r="C320" s="2">
        <v>44420</v>
      </c>
      <c r="D320" t="s">
        <v>351</v>
      </c>
      <c r="E320" t="s">
        <v>358</v>
      </c>
      <c r="F320" t="s">
        <v>363</v>
      </c>
      <c r="G320" s="1" t="s">
        <v>369</v>
      </c>
      <c r="H320" s="1" t="s">
        <v>378</v>
      </c>
      <c r="I320" s="1" t="s">
        <v>384</v>
      </c>
      <c r="J320" t="s">
        <v>372</v>
      </c>
      <c r="K320" t="str">
        <f ca="1">TRIM(Table1_2[[#This Row],[Sub-Category]])</f>
        <v>Binders</v>
      </c>
      <c r="L320" s="5">
        <v>910.97</v>
      </c>
      <c r="M320">
        <v>4</v>
      </c>
      <c r="N320" s="17">
        <v>0.39</v>
      </c>
      <c r="O320" s="5">
        <v>191</v>
      </c>
      <c r="P320" s="8">
        <f>IF(Table1_2[[#This Row],[Sales]]=0, 0,Table1_2[[#This Row],[Profit]]/Table1_2[[#This Row],[Sales]])</f>
        <v>0.20966661909832376</v>
      </c>
      <c r="Q320" s="7">
        <f>Table1_2[[#This Row],[Sales]]/Table1_2[[#This Row],[Quantity]]</f>
        <v>227.74250000000001</v>
      </c>
      <c r="R320" t="str">
        <f>IF(Table1_2[[#This Row],[Profit]]&gt;0, "YES", "NO")</f>
        <v>YES</v>
      </c>
      <c r="S320" t="str">
        <f>TEXT(Table1_2[[#This Row],[Order Date]], "MMM")</f>
        <v>Jan</v>
      </c>
      <c r="T320" t="str">
        <f>TEXT(Table1_2[[#This Row],[Ship Date]],"YYYY")</f>
        <v>2021</v>
      </c>
      <c r="U320" s="1">
        <f>MONTH(1&amp;Table1_2[[#This Row],[Month]])</f>
        <v>1</v>
      </c>
    </row>
    <row r="321" spans="1:21" x14ac:dyDescent="0.3">
      <c r="A321" t="s">
        <v>334</v>
      </c>
      <c r="B321" s="2">
        <v>44606</v>
      </c>
      <c r="C321" s="2">
        <v>44413</v>
      </c>
      <c r="D321" t="s">
        <v>349</v>
      </c>
      <c r="E321" t="s">
        <v>353</v>
      </c>
      <c r="F321" t="s">
        <v>364</v>
      </c>
      <c r="G321" s="1" t="s">
        <v>367</v>
      </c>
      <c r="H321" s="1" t="s">
        <v>375</v>
      </c>
      <c r="I321" s="1" t="s">
        <v>384</v>
      </c>
      <c r="J321" t="s">
        <v>388</v>
      </c>
      <c r="K321" t="str">
        <f ca="1">TRIM(Table1_2[[#This Row],[Sub-Category]])</f>
        <v>Paper</v>
      </c>
      <c r="L321" s="5">
        <v>1016.41</v>
      </c>
      <c r="M321">
        <v>6</v>
      </c>
      <c r="N321" s="17">
        <v>0.17</v>
      </c>
      <c r="O321" s="5">
        <v>664</v>
      </c>
      <c r="P321" s="8">
        <f>IF(Table1_2[[#This Row],[Sales]]=0, 0,Table1_2[[#This Row],[Profit]]/Table1_2[[#This Row],[Sales]])</f>
        <v>0.65327968044391538</v>
      </c>
      <c r="Q321" s="7">
        <f>Table1_2[[#This Row],[Sales]]/Table1_2[[#This Row],[Quantity]]</f>
        <v>169.40166666666667</v>
      </c>
      <c r="R321" t="str">
        <f>IF(Table1_2[[#This Row],[Profit]]&gt;0, "YES", "NO")</f>
        <v>YES</v>
      </c>
      <c r="S321" t="str">
        <f>TEXT(Table1_2[[#This Row],[Order Date]], "MMM")</f>
        <v>Feb</v>
      </c>
      <c r="T321" t="str">
        <f>TEXT(Table1_2[[#This Row],[Ship Date]],"YYYY")</f>
        <v>2021</v>
      </c>
      <c r="U321" s="1">
        <f>MONTH(1&amp;Table1_2[[#This Row],[Month]])</f>
        <v>2</v>
      </c>
    </row>
    <row r="322" spans="1:21" x14ac:dyDescent="0.3">
      <c r="A322" t="s">
        <v>335</v>
      </c>
      <c r="B322" s="2">
        <v>44207</v>
      </c>
      <c r="C322" s="2">
        <v>44672</v>
      </c>
      <c r="D322" t="s">
        <v>351</v>
      </c>
      <c r="E322" t="s">
        <v>355</v>
      </c>
      <c r="F322" t="s">
        <v>362</v>
      </c>
      <c r="G322" s="1" t="s">
        <v>368</v>
      </c>
      <c r="H322" s="1" t="s">
        <v>415</v>
      </c>
      <c r="I322" s="1" t="s">
        <v>384</v>
      </c>
      <c r="J322" t="s">
        <v>386</v>
      </c>
      <c r="K322" t="str">
        <f ca="1">TRIM(Table1_2[[#This Row],[Sub-Category]])</f>
        <v>Binders</v>
      </c>
      <c r="L322" s="5">
        <v>1968.78</v>
      </c>
      <c r="M322">
        <v>1</v>
      </c>
      <c r="N322" s="17">
        <v>0.57999999999999996</v>
      </c>
      <c r="O322" s="5">
        <v>542.04999999999995</v>
      </c>
      <c r="P322" s="8">
        <f>IF(Table1_2[[#This Row],[Sales]]=0, 0,Table1_2[[#This Row],[Profit]]/Table1_2[[#This Row],[Sales]])</f>
        <v>0.27532278873210819</v>
      </c>
      <c r="Q322" s="7">
        <f>Table1_2[[#This Row],[Sales]]/Table1_2[[#This Row],[Quantity]]</f>
        <v>1968.78</v>
      </c>
      <c r="R322" t="str">
        <f>IF(Table1_2[[#This Row],[Profit]]&gt;0, "YES", "NO")</f>
        <v>YES</v>
      </c>
      <c r="S322" t="str">
        <f>TEXT(Table1_2[[#This Row],[Order Date]], "MMM")</f>
        <v>Jan</v>
      </c>
      <c r="T322" t="str">
        <f>TEXT(Table1_2[[#This Row],[Ship Date]],"YYYY")</f>
        <v>2022</v>
      </c>
      <c r="U322" s="1">
        <f>MONTH(1&amp;Table1_2[[#This Row],[Month]])</f>
        <v>1</v>
      </c>
    </row>
    <row r="323" spans="1:21" x14ac:dyDescent="0.3">
      <c r="A323" t="s">
        <v>336</v>
      </c>
      <c r="B323" s="2">
        <v>44798</v>
      </c>
      <c r="C323" s="2">
        <v>44783</v>
      </c>
      <c r="D323" t="s">
        <v>352</v>
      </c>
      <c r="E323" t="s">
        <v>355</v>
      </c>
      <c r="F323" t="s">
        <v>364</v>
      </c>
      <c r="G323" s="1" t="s">
        <v>366</v>
      </c>
      <c r="H323" s="1" t="s">
        <v>377</v>
      </c>
      <c r="I323" s="1" t="s">
        <v>381</v>
      </c>
      <c r="J323" t="s">
        <v>388</v>
      </c>
      <c r="K323" t="str">
        <f ca="1">TRIM(Table1_2[[#This Row],[Sub-Category]])</f>
        <v>NA</v>
      </c>
      <c r="L323" s="5">
        <v>454.41</v>
      </c>
      <c r="M323">
        <v>1</v>
      </c>
      <c r="N323" s="17">
        <v>0.12</v>
      </c>
      <c r="O323" s="5">
        <v>543.15</v>
      </c>
      <c r="P323" s="8">
        <f>IF(Table1_2[[#This Row],[Sales]]=0, 0,Table1_2[[#This Row],[Profit]]/Table1_2[[#This Row],[Sales]])</f>
        <v>1.1952861952861951</v>
      </c>
      <c r="Q323" s="7">
        <f>Table1_2[[#This Row],[Sales]]/Table1_2[[#This Row],[Quantity]]</f>
        <v>454.41</v>
      </c>
      <c r="R323" t="str">
        <f>IF(Table1_2[[#This Row],[Profit]]&gt;0, "YES", "NO")</f>
        <v>YES</v>
      </c>
      <c r="S323" t="str">
        <f>TEXT(Table1_2[[#This Row],[Order Date]], "MMM")</f>
        <v>Aug</v>
      </c>
      <c r="T323" t="str">
        <f>TEXT(Table1_2[[#This Row],[Ship Date]],"YYYY")</f>
        <v>2022</v>
      </c>
      <c r="U323" s="1">
        <f>MONTH(1&amp;Table1_2[[#This Row],[Month]])</f>
        <v>8</v>
      </c>
    </row>
    <row r="324" spans="1:21" x14ac:dyDescent="0.3">
      <c r="A324" t="s">
        <v>337</v>
      </c>
      <c r="B324" s="2">
        <v>44772</v>
      </c>
      <c r="C324" s="2">
        <v>44661</v>
      </c>
      <c r="D324" t="s">
        <v>351</v>
      </c>
      <c r="E324" t="s">
        <v>354</v>
      </c>
      <c r="F324" t="s">
        <v>364</v>
      </c>
      <c r="G324" s="1" t="s">
        <v>367</v>
      </c>
      <c r="H324" s="1" t="s">
        <v>375</v>
      </c>
      <c r="I324" s="1" t="s">
        <v>383</v>
      </c>
      <c r="J324" t="s">
        <v>372</v>
      </c>
      <c r="K324" t="str">
        <f ca="1">TRIM(Table1_2[[#This Row],[Sub-Category]])</f>
        <v>Binders</v>
      </c>
      <c r="L324" s="5">
        <v>981.07</v>
      </c>
      <c r="M324">
        <v>5</v>
      </c>
      <c r="N324" s="17">
        <v>0.3</v>
      </c>
      <c r="O324" s="5">
        <v>701.57</v>
      </c>
      <c r="P324" s="8">
        <f>IF(Table1_2[[#This Row],[Sales]]=0, 0,Table1_2[[#This Row],[Profit]]/Table1_2[[#This Row],[Sales]])</f>
        <v>0.71510697503745912</v>
      </c>
      <c r="Q324" s="7">
        <f>Table1_2[[#This Row],[Sales]]/Table1_2[[#This Row],[Quantity]]</f>
        <v>196.214</v>
      </c>
      <c r="R324" t="str">
        <f>IF(Table1_2[[#This Row],[Profit]]&gt;0, "YES", "NO")</f>
        <v>YES</v>
      </c>
      <c r="S324" t="str">
        <f>TEXT(Table1_2[[#This Row],[Order Date]], "MMM")</f>
        <v>Jul</v>
      </c>
      <c r="T324" t="str">
        <f>TEXT(Table1_2[[#This Row],[Ship Date]],"YYYY")</f>
        <v>2022</v>
      </c>
      <c r="U324" s="1">
        <f>MONTH(1&amp;Table1_2[[#This Row],[Month]])</f>
        <v>7</v>
      </c>
    </row>
    <row r="325" spans="1:21" x14ac:dyDescent="0.3">
      <c r="A325" t="s">
        <v>338</v>
      </c>
      <c r="B325" s="2">
        <v>45132</v>
      </c>
      <c r="C325" s="2">
        <v>44393</v>
      </c>
      <c r="D325" t="s">
        <v>349</v>
      </c>
      <c r="E325" t="s">
        <v>358</v>
      </c>
      <c r="F325" t="s">
        <v>364</v>
      </c>
      <c r="G325" s="1" t="s">
        <v>370</v>
      </c>
      <c r="H325" s="1" t="s">
        <v>377</v>
      </c>
      <c r="I325" s="1" t="s">
        <v>384</v>
      </c>
      <c r="J325" t="s">
        <v>388</v>
      </c>
      <c r="K325" t="str">
        <f ca="1">TRIM(Table1_2[[#This Row],[Sub-Category]])</f>
        <v>Binders</v>
      </c>
      <c r="L325" s="5">
        <v>307.52999999999997</v>
      </c>
      <c r="M325">
        <v>6</v>
      </c>
      <c r="N325" s="17">
        <v>0.31</v>
      </c>
      <c r="O325" s="5">
        <v>398.66</v>
      </c>
      <c r="P325" s="8">
        <f>IF(Table1_2[[#This Row],[Sales]]=0, 0,Table1_2[[#This Row],[Profit]]/Table1_2[[#This Row],[Sales]])</f>
        <v>1.2963288134490947</v>
      </c>
      <c r="Q325" s="7">
        <f>Table1_2[[#This Row],[Sales]]/Table1_2[[#This Row],[Quantity]]</f>
        <v>51.254999999999995</v>
      </c>
      <c r="R325" t="str">
        <f>IF(Table1_2[[#This Row],[Profit]]&gt;0, "YES", "NO")</f>
        <v>YES</v>
      </c>
      <c r="S325" t="str">
        <f>TEXT(Table1_2[[#This Row],[Order Date]], "MMM")</f>
        <v>Jul</v>
      </c>
      <c r="T325" t="str">
        <f>TEXT(Table1_2[[#This Row],[Ship Date]],"YYYY")</f>
        <v>2021</v>
      </c>
      <c r="U325" s="1">
        <f>MONTH(1&amp;Table1_2[[#This Row],[Month]])</f>
        <v>7</v>
      </c>
    </row>
    <row r="326" spans="1:21" x14ac:dyDescent="0.3">
      <c r="A326" t="s">
        <v>339</v>
      </c>
      <c r="B326" s="2">
        <v>44701</v>
      </c>
      <c r="C326" s="2">
        <v>44499</v>
      </c>
      <c r="D326" t="s">
        <v>350</v>
      </c>
      <c r="E326" t="s">
        <v>355</v>
      </c>
      <c r="F326" t="s">
        <v>363</v>
      </c>
      <c r="G326" s="1" t="s">
        <v>365</v>
      </c>
      <c r="H326" s="1" t="s">
        <v>379</v>
      </c>
      <c r="I326" s="1" t="s">
        <v>381</v>
      </c>
      <c r="J326" t="s">
        <v>372</v>
      </c>
      <c r="K326" t="str">
        <f ca="1">TRIM(Table1_2[[#This Row],[Sub-Category]])</f>
        <v>NA</v>
      </c>
      <c r="L326" s="5">
        <v>706.5</v>
      </c>
      <c r="M326">
        <v>5</v>
      </c>
      <c r="N326" s="17">
        <v>0.1</v>
      </c>
      <c r="O326" s="5">
        <v>328.57</v>
      </c>
      <c r="P326" s="8">
        <f>IF(Table1_2[[#This Row],[Sales]]=0, 0,Table1_2[[#This Row],[Profit]]/Table1_2[[#This Row],[Sales]])</f>
        <v>0.46506723283793344</v>
      </c>
      <c r="Q326" s="7">
        <f>Table1_2[[#This Row],[Sales]]/Table1_2[[#This Row],[Quantity]]</f>
        <v>141.30000000000001</v>
      </c>
      <c r="R326" t="str">
        <f>IF(Table1_2[[#This Row],[Profit]]&gt;0, "YES", "NO")</f>
        <v>YES</v>
      </c>
      <c r="S326" t="str">
        <f>TEXT(Table1_2[[#This Row],[Order Date]], "MMM")</f>
        <v>May</v>
      </c>
      <c r="T326" t="str">
        <f>TEXT(Table1_2[[#This Row],[Ship Date]],"YYYY")</f>
        <v>2021</v>
      </c>
      <c r="U326" s="1">
        <f>MONTH(1&amp;Table1_2[[#This Row],[Month]])</f>
        <v>5</v>
      </c>
    </row>
    <row r="327" spans="1:21" x14ac:dyDescent="0.3">
      <c r="A327" t="s">
        <v>340</v>
      </c>
      <c r="B327" s="2">
        <v>44664</v>
      </c>
      <c r="C327" s="2">
        <v>44877</v>
      </c>
      <c r="D327" t="s">
        <v>352</v>
      </c>
      <c r="E327" t="s">
        <v>358</v>
      </c>
      <c r="F327" t="s">
        <v>362</v>
      </c>
      <c r="G327" s="1" t="s">
        <v>370</v>
      </c>
      <c r="H327" s="1" t="s">
        <v>415</v>
      </c>
      <c r="I327" s="1" t="s">
        <v>384</v>
      </c>
      <c r="J327" t="s">
        <v>388</v>
      </c>
      <c r="K327" t="str">
        <f ca="1">TRIM(Table1_2[[#This Row],[Sub-Category]])</f>
        <v>Paper</v>
      </c>
      <c r="L327" s="5">
        <v>1437.45</v>
      </c>
      <c r="M327">
        <v>4</v>
      </c>
      <c r="N327" s="17">
        <v>0.43</v>
      </c>
      <c r="O327" s="5">
        <v>690</v>
      </c>
      <c r="P327" s="8">
        <f>IF(Table1_2[[#This Row],[Sales]]=0, 0,Table1_2[[#This Row],[Profit]]/Table1_2[[#This Row],[Sales]])</f>
        <v>0.48001669623291243</v>
      </c>
      <c r="Q327" s="7">
        <f>Table1_2[[#This Row],[Sales]]/Table1_2[[#This Row],[Quantity]]</f>
        <v>359.36250000000001</v>
      </c>
      <c r="R327" t="str">
        <f>IF(Table1_2[[#This Row],[Profit]]&gt;0, "YES", "NO")</f>
        <v>YES</v>
      </c>
      <c r="S327" t="str">
        <f>TEXT(Table1_2[[#This Row],[Order Date]], "MMM")</f>
        <v>Apr</v>
      </c>
      <c r="T327" t="str">
        <f>TEXT(Table1_2[[#This Row],[Ship Date]],"YYYY")</f>
        <v>2022</v>
      </c>
      <c r="U327" s="1">
        <f>MONTH(1&amp;Table1_2[[#This Row],[Month]])</f>
        <v>4</v>
      </c>
    </row>
    <row r="328" spans="1:21" x14ac:dyDescent="0.3">
      <c r="A328" t="s">
        <v>341</v>
      </c>
      <c r="B328" s="2">
        <v>44442</v>
      </c>
      <c r="C328" s="2">
        <v>44224</v>
      </c>
      <c r="D328" t="s">
        <v>350</v>
      </c>
      <c r="E328" t="s">
        <v>356</v>
      </c>
      <c r="F328" t="s">
        <v>362</v>
      </c>
      <c r="G328" s="1" t="s">
        <v>371</v>
      </c>
      <c r="H328" s="1" t="s">
        <v>379</v>
      </c>
      <c r="I328" s="1" t="s">
        <v>384</v>
      </c>
      <c r="J328" t="s">
        <v>372</v>
      </c>
      <c r="K328" t="str">
        <f ca="1">TRIM(Table1_2[[#This Row],[Sub-Category]])</f>
        <v>Phones</v>
      </c>
      <c r="L328" s="5">
        <v>357</v>
      </c>
      <c r="M328">
        <v>3</v>
      </c>
      <c r="N328" s="17">
        <v>0.05</v>
      </c>
      <c r="O328" s="5">
        <v>254</v>
      </c>
      <c r="P328" s="8">
        <f>IF(Table1_2[[#This Row],[Sales]]=0, 0,Table1_2[[#This Row],[Profit]]/Table1_2[[#This Row],[Sales]])</f>
        <v>0.71148459383753504</v>
      </c>
      <c r="Q328" s="7">
        <f>Table1_2[[#This Row],[Sales]]/Table1_2[[#This Row],[Quantity]]</f>
        <v>119</v>
      </c>
      <c r="R328" t="str">
        <f>IF(Table1_2[[#This Row],[Profit]]&gt;0, "YES", "NO")</f>
        <v>YES</v>
      </c>
      <c r="S328" t="str">
        <f>TEXT(Table1_2[[#This Row],[Order Date]], "MMM")</f>
        <v>Sep</v>
      </c>
      <c r="T328" t="str">
        <f>TEXT(Table1_2[[#This Row],[Ship Date]],"YYYY")</f>
        <v>2021</v>
      </c>
      <c r="U328" s="1">
        <f>MONTH(1&amp;Table1_2[[#This Row],[Month]])</f>
        <v>9</v>
      </c>
    </row>
    <row r="329" spans="1:21" x14ac:dyDescent="0.3">
      <c r="A329" t="s">
        <v>342</v>
      </c>
      <c r="B329" s="2">
        <v>44393</v>
      </c>
      <c r="C329" s="2">
        <v>44412</v>
      </c>
      <c r="D329" t="s">
        <v>350</v>
      </c>
      <c r="E329" t="s">
        <v>358</v>
      </c>
      <c r="F329" t="s">
        <v>364</v>
      </c>
      <c r="G329" s="1" t="s">
        <v>365</v>
      </c>
      <c r="H329" s="1" t="s">
        <v>415</v>
      </c>
      <c r="I329" s="1" t="s">
        <v>384</v>
      </c>
      <c r="J329" t="s">
        <v>388</v>
      </c>
      <c r="K329" t="str">
        <f ca="1">TRIM(Table1_2[[#This Row],[Sub-Category]])</f>
        <v>Phones</v>
      </c>
      <c r="L329" s="5">
        <v>1167</v>
      </c>
      <c r="M329">
        <v>7</v>
      </c>
      <c r="N329" s="17">
        <v>0.42</v>
      </c>
      <c r="O329" s="5">
        <v>611.57000000000005</v>
      </c>
      <c r="P329" s="8">
        <f>IF(Table1_2[[#This Row],[Sales]]=0, 0,Table1_2[[#This Row],[Profit]]/Table1_2[[#This Row],[Sales]])</f>
        <v>0.52405312767780643</v>
      </c>
      <c r="Q329" s="7">
        <f>Table1_2[[#This Row],[Sales]]/Table1_2[[#This Row],[Quantity]]</f>
        <v>166.71428571428572</v>
      </c>
      <c r="R329" t="str">
        <f>IF(Table1_2[[#This Row],[Profit]]&gt;0, "YES", "NO")</f>
        <v>YES</v>
      </c>
      <c r="S329" t="str">
        <f>TEXT(Table1_2[[#This Row],[Order Date]], "MMM")</f>
        <v>Jul</v>
      </c>
      <c r="T329" t="str">
        <f>TEXT(Table1_2[[#This Row],[Ship Date]],"YYYY")</f>
        <v>2021</v>
      </c>
      <c r="U329" s="1">
        <f>MONTH(1&amp;Table1_2[[#This Row],[Month]])</f>
        <v>7</v>
      </c>
    </row>
    <row r="330" spans="1:21" x14ac:dyDescent="0.3">
      <c r="A330" t="s">
        <v>343</v>
      </c>
      <c r="B330" s="2">
        <v>44535</v>
      </c>
      <c r="C330" s="2">
        <v>45090</v>
      </c>
      <c r="D330" t="s">
        <v>350</v>
      </c>
      <c r="E330" t="s">
        <v>359</v>
      </c>
      <c r="F330" t="s">
        <v>361</v>
      </c>
      <c r="G330" s="1" t="s">
        <v>415</v>
      </c>
      <c r="H330" s="1" t="s">
        <v>375</v>
      </c>
      <c r="I330" s="1" t="s">
        <v>383</v>
      </c>
      <c r="J330" t="s">
        <v>387</v>
      </c>
      <c r="K330" t="str">
        <f ca="1">TRIM(Table1_2[[#This Row],[Sub-Category]])</f>
        <v>Phones</v>
      </c>
      <c r="L330" s="5">
        <v>839.24</v>
      </c>
      <c r="M330">
        <v>6</v>
      </c>
      <c r="N330" s="17">
        <v>0.51</v>
      </c>
      <c r="O330" s="5">
        <v>-146.15</v>
      </c>
      <c r="P330" s="8">
        <f>IF(Table1_2[[#This Row],[Sales]]=0, 0,Table1_2[[#This Row],[Profit]]/Table1_2[[#This Row],[Sales]])</f>
        <v>-0.17414565559315573</v>
      </c>
      <c r="Q330" s="7">
        <f>Table1_2[[#This Row],[Sales]]/Table1_2[[#This Row],[Quantity]]</f>
        <v>139.87333333333333</v>
      </c>
      <c r="R330" t="str">
        <f>IF(Table1_2[[#This Row],[Profit]]&gt;0, "YES", "NO")</f>
        <v>NO</v>
      </c>
      <c r="S330" t="str">
        <f>TEXT(Table1_2[[#This Row],[Order Date]], "MMM")</f>
        <v>Dec</v>
      </c>
      <c r="T330" t="str">
        <f>TEXT(Table1_2[[#This Row],[Ship Date]],"YYYY")</f>
        <v>2023</v>
      </c>
      <c r="U330" s="1">
        <f>MONTH(1&amp;Table1_2[[#This Row],[Month]])</f>
        <v>12</v>
      </c>
    </row>
    <row r="331" spans="1:21" x14ac:dyDescent="0.3">
      <c r="A331" t="s">
        <v>344</v>
      </c>
      <c r="B331" s="2">
        <v>44574</v>
      </c>
      <c r="C331" s="2">
        <v>44297</v>
      </c>
      <c r="D331" t="s">
        <v>349</v>
      </c>
      <c r="E331" t="s">
        <v>354</v>
      </c>
      <c r="F331" t="s">
        <v>361</v>
      </c>
      <c r="G331" s="1" t="s">
        <v>373</v>
      </c>
      <c r="H331" s="1" t="s">
        <v>415</v>
      </c>
      <c r="I331" s="1" t="s">
        <v>381</v>
      </c>
      <c r="J331" t="s">
        <v>387</v>
      </c>
      <c r="K331" t="str">
        <f ca="1">TRIM(Table1_2[[#This Row],[Sub-Category]])</f>
        <v>Binders</v>
      </c>
      <c r="L331" s="5">
        <v>113</v>
      </c>
      <c r="M331">
        <v>1</v>
      </c>
      <c r="N331" s="17">
        <v>0.21</v>
      </c>
      <c r="O331" s="5">
        <v>-199</v>
      </c>
      <c r="P331" s="8">
        <f>IF(Table1_2[[#This Row],[Sales]]=0, 0,Table1_2[[#This Row],[Profit]]/Table1_2[[#This Row],[Sales]])</f>
        <v>-1.7610619469026549</v>
      </c>
      <c r="Q331" s="7">
        <f>Table1_2[[#This Row],[Sales]]/Table1_2[[#This Row],[Quantity]]</f>
        <v>113</v>
      </c>
      <c r="R331" t="str">
        <f>IF(Table1_2[[#This Row],[Profit]]&gt;0, "YES", "NO")</f>
        <v>NO</v>
      </c>
      <c r="S331" t="str">
        <f>TEXT(Table1_2[[#This Row],[Order Date]], "MMM")</f>
        <v>Jan</v>
      </c>
      <c r="T331" t="str">
        <f>TEXT(Table1_2[[#This Row],[Ship Date]],"YYYY")</f>
        <v>2021</v>
      </c>
      <c r="U331" s="1">
        <f>MONTH(1&amp;Table1_2[[#This Row],[Month]])</f>
        <v>1</v>
      </c>
    </row>
    <row r="332" spans="1:21" x14ac:dyDescent="0.3">
      <c r="A332" t="s">
        <v>345</v>
      </c>
      <c r="B332" s="2">
        <v>44559</v>
      </c>
      <c r="C332" s="2">
        <v>44612</v>
      </c>
      <c r="D332" t="s">
        <v>349</v>
      </c>
      <c r="E332" t="s">
        <v>359</v>
      </c>
      <c r="F332" t="s">
        <v>362</v>
      </c>
      <c r="G332" s="1" t="s">
        <v>366</v>
      </c>
      <c r="H332" s="1" t="s">
        <v>380</v>
      </c>
      <c r="I332" s="1" t="s">
        <v>383</v>
      </c>
      <c r="J332" t="s">
        <v>387</v>
      </c>
      <c r="K332" t="str">
        <f ca="1">TRIM(Table1_2[[#This Row],[Sub-Category]])</f>
        <v>Chairs</v>
      </c>
      <c r="L332" s="5">
        <v>1866.82</v>
      </c>
      <c r="M332">
        <v>5</v>
      </c>
      <c r="N332" s="17">
        <v>0.43</v>
      </c>
      <c r="O332" s="5">
        <v>328.29</v>
      </c>
      <c r="P332" s="8">
        <f>IF(Table1_2[[#This Row],[Sales]]=0, 0,Table1_2[[#This Row],[Profit]]/Table1_2[[#This Row],[Sales]])</f>
        <v>0.17585519760876786</v>
      </c>
      <c r="Q332" s="7">
        <f>Table1_2[[#This Row],[Sales]]/Table1_2[[#This Row],[Quantity]]</f>
        <v>373.36399999999998</v>
      </c>
      <c r="R332" t="str">
        <f>IF(Table1_2[[#This Row],[Profit]]&gt;0, "YES", "NO")</f>
        <v>YES</v>
      </c>
      <c r="S332" t="str">
        <f>TEXT(Table1_2[[#This Row],[Order Date]], "MMM")</f>
        <v>Dec</v>
      </c>
      <c r="T332" t="str">
        <f>TEXT(Table1_2[[#This Row],[Ship Date]],"YYYY")</f>
        <v>2022</v>
      </c>
      <c r="U332" s="1">
        <f>MONTH(1&amp;Table1_2[[#This Row],[Month]])</f>
        <v>12</v>
      </c>
    </row>
    <row r="333" spans="1:21" x14ac:dyDescent="0.3">
      <c r="A333" t="s">
        <v>346</v>
      </c>
      <c r="B333" s="2">
        <v>44591</v>
      </c>
      <c r="C333" s="2">
        <v>44404</v>
      </c>
      <c r="D333" t="s">
        <v>349</v>
      </c>
      <c r="E333" t="s">
        <v>355</v>
      </c>
      <c r="F333" t="s">
        <v>363</v>
      </c>
      <c r="G333" s="1" t="s">
        <v>370</v>
      </c>
      <c r="H333" s="1" t="s">
        <v>375</v>
      </c>
      <c r="I333" s="1" t="s">
        <v>385</v>
      </c>
      <c r="J333" t="s">
        <v>387</v>
      </c>
      <c r="K333" t="str">
        <f ca="1">TRIM(Table1_2[[#This Row],[Sub-Category]])</f>
        <v>Binders</v>
      </c>
      <c r="L333" s="5">
        <v>833.07</v>
      </c>
      <c r="M333">
        <v>7</v>
      </c>
      <c r="N333" s="17">
        <v>0.09</v>
      </c>
      <c r="O333" s="5">
        <v>-126</v>
      </c>
      <c r="P333" s="8">
        <f>IF(Table1_2[[#This Row],[Sales]]=0, 0,Table1_2[[#This Row],[Profit]]/Table1_2[[#This Row],[Sales]])</f>
        <v>-0.15124779430299973</v>
      </c>
      <c r="Q333" s="7">
        <f>Table1_2[[#This Row],[Sales]]/Table1_2[[#This Row],[Quantity]]</f>
        <v>119.01</v>
      </c>
      <c r="R333" t="str">
        <f>IF(Table1_2[[#This Row],[Profit]]&gt;0, "YES", "NO")</f>
        <v>NO</v>
      </c>
      <c r="S333" t="str">
        <f>TEXT(Table1_2[[#This Row],[Order Date]], "MMM")</f>
        <v>Jan</v>
      </c>
      <c r="T333" t="str">
        <f>TEXT(Table1_2[[#This Row],[Ship Date]],"YYYY")</f>
        <v>2021</v>
      </c>
      <c r="U333" s="1">
        <f>MONTH(1&amp;Table1_2[[#This Row],[Month]])</f>
        <v>1</v>
      </c>
    </row>
    <row r="334" spans="1:21" x14ac:dyDescent="0.3">
      <c r="A334" t="s">
        <v>347</v>
      </c>
      <c r="B334" s="2">
        <v>44965</v>
      </c>
      <c r="C334" s="2">
        <v>44302</v>
      </c>
      <c r="D334" t="s">
        <v>349</v>
      </c>
      <c r="E334" t="s">
        <v>354</v>
      </c>
      <c r="F334" t="s">
        <v>364</v>
      </c>
      <c r="G334" s="1" t="s">
        <v>373</v>
      </c>
      <c r="H334" s="1" t="s">
        <v>414</v>
      </c>
      <c r="I334" s="1" t="s">
        <v>382</v>
      </c>
      <c r="J334" t="s">
        <v>387</v>
      </c>
      <c r="K334" t="str">
        <f ca="1">TRIM(Table1_2[[#This Row],[Sub-Category]])</f>
        <v>Binders</v>
      </c>
      <c r="L334" s="5">
        <v>1570.01</v>
      </c>
      <c r="M334">
        <v>8</v>
      </c>
      <c r="N334" s="17">
        <v>0.51</v>
      </c>
      <c r="O334" s="5">
        <v>776.54</v>
      </c>
      <c r="P334" s="8">
        <f>IF(Table1_2[[#This Row],[Sales]]=0, 0,Table1_2[[#This Row],[Profit]]/Table1_2[[#This Row],[Sales]])</f>
        <v>0.49460831459672228</v>
      </c>
      <c r="Q334" s="7">
        <f>Table1_2[[#This Row],[Sales]]/Table1_2[[#This Row],[Quantity]]</f>
        <v>196.25125</v>
      </c>
      <c r="R334" t="str">
        <f>IF(Table1_2[[#This Row],[Profit]]&gt;0, "YES", "NO")</f>
        <v>YES</v>
      </c>
      <c r="S334" t="str">
        <f>TEXT(Table1_2[[#This Row],[Order Date]], "MMM")</f>
        <v>Feb</v>
      </c>
      <c r="T334" t="str">
        <f>TEXT(Table1_2[[#This Row],[Ship Date]],"YYYY")</f>
        <v>2021</v>
      </c>
      <c r="U334" s="1">
        <f>MONTH(1&amp;Table1_2[[#This Row],[Month]])</f>
        <v>2</v>
      </c>
    </row>
    <row r="335" spans="1:21" x14ac:dyDescent="0.3">
      <c r="A335" t="s">
        <v>348</v>
      </c>
      <c r="B335" s="2">
        <v>44328</v>
      </c>
      <c r="C335" s="2">
        <v>44620</v>
      </c>
      <c r="D335" t="s">
        <v>350</v>
      </c>
      <c r="E335" t="s">
        <v>355</v>
      </c>
      <c r="F335" t="s">
        <v>364</v>
      </c>
      <c r="G335" s="1" t="s">
        <v>368</v>
      </c>
      <c r="H335" s="1" t="s">
        <v>415</v>
      </c>
      <c r="I335" s="1" t="s">
        <v>381</v>
      </c>
      <c r="J335" t="s">
        <v>387</v>
      </c>
      <c r="K335" t="str">
        <f ca="1">TRIM(Table1_2[[#This Row],[Sub-Category]])</f>
        <v>NA</v>
      </c>
      <c r="L335" s="5">
        <v>838.46</v>
      </c>
      <c r="M335">
        <v>3</v>
      </c>
      <c r="N335" s="17">
        <v>0.56999999999999995</v>
      </c>
      <c r="O335" s="5">
        <v>-194.5</v>
      </c>
      <c r="P335" s="8">
        <f>IF(Table1_2[[#This Row],[Sales]]=0, 0,Table1_2[[#This Row],[Profit]]/Table1_2[[#This Row],[Sales]])</f>
        <v>-0.23197290270257376</v>
      </c>
      <c r="Q335" s="7">
        <f>Table1_2[[#This Row],[Sales]]/Table1_2[[#This Row],[Quantity]]</f>
        <v>279.48666666666668</v>
      </c>
      <c r="R335" t="str">
        <f>IF(Table1_2[[#This Row],[Profit]]&gt;0, "YES", "NO")</f>
        <v>NO</v>
      </c>
      <c r="S335" t="str">
        <f>TEXT(Table1_2[[#This Row],[Order Date]], "MMM")</f>
        <v>May</v>
      </c>
      <c r="T335" t="str">
        <f>TEXT(Table1_2[[#This Row],[Ship Date]],"YYYY")</f>
        <v>2022</v>
      </c>
      <c r="U335" s="1">
        <f>MONTH(1&amp;Table1_2[[#This Row],[Month]])</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F8B1E-D30F-4CC1-A373-D445145CAEFE}">
  <dimension ref="A2:U27"/>
  <sheetViews>
    <sheetView topLeftCell="C2" workbookViewId="0">
      <selection activeCell="AE18" sqref="AE18"/>
    </sheetView>
  </sheetViews>
  <sheetFormatPr defaultRowHeight="14.4" x14ac:dyDescent="0.3"/>
  <cols>
    <col min="1" max="1" width="12.21875" bestFit="1" customWidth="1"/>
    <col min="2" max="2" width="12.109375" bestFit="1" customWidth="1"/>
    <col min="3" max="3" width="11.6640625" bestFit="1" customWidth="1"/>
    <col min="4" max="4" width="11.33203125" bestFit="1" customWidth="1"/>
    <col min="5" max="5" width="14.88671875" bestFit="1" customWidth="1"/>
    <col min="6" max="6" width="11.6640625" bestFit="1" customWidth="1"/>
    <col min="7" max="7" width="12.109375" bestFit="1" customWidth="1"/>
    <col min="8" max="8" width="16.88671875" bestFit="1" customWidth="1"/>
    <col min="9" max="9" width="12.109375" bestFit="1" customWidth="1"/>
    <col min="11" max="11" width="9.88671875" bestFit="1" customWidth="1"/>
    <col min="12" max="12" width="10.33203125" bestFit="1" customWidth="1"/>
    <col min="13" max="13" width="6.5546875" bestFit="1" customWidth="1"/>
    <col min="14" max="14" width="18.77734375" bestFit="1" customWidth="1"/>
    <col min="15" max="15" width="12.21875" bestFit="1" customWidth="1"/>
    <col min="16" max="16" width="12.109375" bestFit="1" customWidth="1"/>
    <col min="17" max="17" width="11.6640625" bestFit="1" customWidth="1"/>
    <col min="18" max="18" width="12.109375" bestFit="1" customWidth="1"/>
    <col min="19" max="20" width="11.6640625" bestFit="1" customWidth="1"/>
    <col min="21" max="21" width="15" customWidth="1"/>
    <col min="22" max="22" width="14.109375" customWidth="1"/>
    <col min="23" max="23" width="14" customWidth="1"/>
    <col min="24" max="24" width="10.77734375" bestFit="1" customWidth="1"/>
  </cols>
  <sheetData>
    <row r="2" spans="1:21" x14ac:dyDescent="0.3">
      <c r="H2" s="3" t="s">
        <v>4</v>
      </c>
      <c r="I2" t="s">
        <v>395</v>
      </c>
    </row>
    <row r="3" spans="1:21" x14ac:dyDescent="0.3">
      <c r="A3" s="3" t="s">
        <v>394</v>
      </c>
      <c r="B3" t="s">
        <v>395</v>
      </c>
      <c r="D3" s="3" t="s">
        <v>424</v>
      </c>
      <c r="E3" t="s">
        <v>390</v>
      </c>
      <c r="F3" t="s">
        <v>395</v>
      </c>
      <c r="H3" s="4" t="s">
        <v>358</v>
      </c>
      <c r="I3" s="18">
        <v>16824.41</v>
      </c>
      <c r="T3" s="9"/>
    </row>
    <row r="4" spans="1:21" x14ac:dyDescent="0.3">
      <c r="A4" s="4" t="s">
        <v>406</v>
      </c>
      <c r="B4" s="18">
        <v>11434.140000000001</v>
      </c>
      <c r="D4" s="4" t="s">
        <v>418</v>
      </c>
      <c r="E4" s="18">
        <v>40865.969999999994</v>
      </c>
      <c r="F4" s="1">
        <v>13648.13</v>
      </c>
      <c r="H4" s="4" t="s">
        <v>355</v>
      </c>
      <c r="I4" s="18">
        <v>15982.119999999997</v>
      </c>
      <c r="K4" t="s">
        <v>398</v>
      </c>
      <c r="L4" t="s">
        <v>399</v>
      </c>
      <c r="M4" t="s">
        <v>400</v>
      </c>
      <c r="N4" t="s">
        <v>425</v>
      </c>
      <c r="T4" s="10"/>
    </row>
    <row r="5" spans="1:21" x14ac:dyDescent="0.3">
      <c r="A5" s="4" t="s">
        <v>405</v>
      </c>
      <c r="B5" s="18">
        <v>11698.27</v>
      </c>
      <c r="D5" s="4" t="s">
        <v>419</v>
      </c>
      <c r="E5" s="18">
        <v>43427.839999999982</v>
      </c>
      <c r="F5" s="1">
        <v>16812.68</v>
      </c>
      <c r="H5" s="4" t="s">
        <v>359</v>
      </c>
      <c r="I5" s="18">
        <v>13231.490000000002</v>
      </c>
      <c r="K5" s="18">
        <v>317386.56000000017</v>
      </c>
      <c r="L5" s="1">
        <v>104079.86000000002</v>
      </c>
      <c r="M5" s="1">
        <v>334</v>
      </c>
      <c r="N5" s="6">
        <v>276.71922600353577</v>
      </c>
      <c r="T5" s="11"/>
    </row>
    <row r="6" spans="1:21" x14ac:dyDescent="0.3">
      <c r="A6" s="4" t="s">
        <v>409</v>
      </c>
      <c r="B6" s="18">
        <v>6170.8400000000011</v>
      </c>
      <c r="D6" s="4" t="s">
        <v>420</v>
      </c>
      <c r="E6" s="18">
        <v>41688.089999999997</v>
      </c>
      <c r="F6" s="1">
        <v>12145.010000000002</v>
      </c>
      <c r="H6" s="4" t="s">
        <v>360</v>
      </c>
      <c r="I6" s="18">
        <v>12564.839999999998</v>
      </c>
      <c r="T6" s="11"/>
    </row>
    <row r="7" spans="1:21" x14ac:dyDescent="0.3">
      <c r="A7" s="4" t="s">
        <v>402</v>
      </c>
      <c r="B7" s="18">
        <v>9261.02</v>
      </c>
      <c r="D7" s="4" t="s">
        <v>421</v>
      </c>
      <c r="E7" s="18">
        <v>45080.139999999992</v>
      </c>
      <c r="F7" s="1">
        <v>15890.060000000005</v>
      </c>
      <c r="H7" s="4" t="s">
        <v>354</v>
      </c>
      <c r="I7" s="18">
        <v>12121.29</v>
      </c>
      <c r="T7" s="11"/>
    </row>
    <row r="8" spans="1:21" x14ac:dyDescent="0.3">
      <c r="A8" s="4" t="s">
        <v>410</v>
      </c>
      <c r="B8" s="18">
        <v>10738.25</v>
      </c>
      <c r="D8" s="4" t="s">
        <v>422</v>
      </c>
      <c r="E8" s="18">
        <v>42984.01999999999</v>
      </c>
      <c r="F8" s="1">
        <v>15194.099999999999</v>
      </c>
      <c r="H8" s="4" t="s">
        <v>356</v>
      </c>
      <c r="I8" s="18">
        <v>12072.089999999998</v>
      </c>
      <c r="T8" s="11"/>
      <c r="U8" s="12"/>
    </row>
    <row r="9" spans="1:21" x14ac:dyDescent="0.3">
      <c r="A9" s="4" t="s">
        <v>408</v>
      </c>
      <c r="B9" s="18">
        <v>8855.86</v>
      </c>
      <c r="D9" s="4" t="s">
        <v>423</v>
      </c>
      <c r="E9" s="18">
        <v>43770.219999999994</v>
      </c>
      <c r="F9" s="1">
        <v>16636.71</v>
      </c>
      <c r="H9" s="4" t="s">
        <v>353</v>
      </c>
      <c r="I9" s="18">
        <v>11442.310000000003</v>
      </c>
      <c r="T9" s="11"/>
      <c r="U9" s="12"/>
    </row>
    <row r="10" spans="1:21" x14ac:dyDescent="0.3">
      <c r="A10" s="4" t="s">
        <v>407</v>
      </c>
      <c r="B10" s="18">
        <v>10865.429999999998</v>
      </c>
      <c r="D10" s="4" t="s">
        <v>389</v>
      </c>
      <c r="E10" s="18">
        <v>257816.27999999994</v>
      </c>
      <c r="F10" s="1">
        <v>90326.69</v>
      </c>
      <c r="H10" s="4" t="s">
        <v>357</v>
      </c>
      <c r="I10" s="18">
        <v>9841.3100000000031</v>
      </c>
      <c r="T10" s="11"/>
      <c r="U10" s="12"/>
    </row>
    <row r="11" spans="1:21" x14ac:dyDescent="0.3">
      <c r="A11" s="4" t="s">
        <v>403</v>
      </c>
      <c r="B11" s="18">
        <v>7818.8900000000012</v>
      </c>
      <c r="H11" s="4" t="s">
        <v>389</v>
      </c>
      <c r="I11" s="18">
        <v>104079.86</v>
      </c>
      <c r="T11" s="11"/>
      <c r="U11" s="12"/>
    </row>
    <row r="12" spans="1:21" x14ac:dyDescent="0.3">
      <c r="A12" s="4" t="s">
        <v>413</v>
      </c>
      <c r="B12" s="18">
        <v>8403.0499999999993</v>
      </c>
      <c r="T12" s="11"/>
      <c r="U12" s="12"/>
    </row>
    <row r="13" spans="1:21" x14ac:dyDescent="0.3">
      <c r="A13" s="4" t="s">
        <v>412</v>
      </c>
      <c r="B13" s="18">
        <v>5835.36</v>
      </c>
      <c r="T13" s="11"/>
      <c r="U13" s="12"/>
    </row>
    <row r="14" spans="1:21" x14ac:dyDescent="0.3">
      <c r="A14" s="4" t="s">
        <v>411</v>
      </c>
      <c r="B14" s="18">
        <v>7387.03</v>
      </c>
      <c r="E14" t="s">
        <v>396</v>
      </c>
      <c r="F14" t="s">
        <v>397</v>
      </c>
      <c r="T14" s="11"/>
      <c r="U14" s="12"/>
    </row>
    <row r="15" spans="1:21" x14ac:dyDescent="0.3">
      <c r="A15" s="4" t="s">
        <v>404</v>
      </c>
      <c r="B15" s="18">
        <v>5611.72</v>
      </c>
      <c r="E15" t="s">
        <v>398</v>
      </c>
      <c r="F15" s="18">
        <f>SUM(Table1_2[Sales])</f>
        <v>317386.56000000017</v>
      </c>
    </row>
    <row r="16" spans="1:21" x14ac:dyDescent="0.3">
      <c r="A16" s="4" t="s">
        <v>389</v>
      </c>
      <c r="B16" s="18">
        <v>104079.86</v>
      </c>
      <c r="E16" t="s">
        <v>399</v>
      </c>
      <c r="F16" s="18">
        <f>SUM(Table1_2[Profit])</f>
        <v>104079.86000000002</v>
      </c>
    </row>
    <row r="17" spans="1:7" x14ac:dyDescent="0.3">
      <c r="E17" t="s">
        <v>400</v>
      </c>
      <c r="F17" s="7">
        <f>COUNTA(Table1_2[Order ID])</f>
        <v>334</v>
      </c>
    </row>
    <row r="18" spans="1:7" x14ac:dyDescent="0.3">
      <c r="A18" s="3" t="s">
        <v>7</v>
      </c>
      <c r="B18" t="s">
        <v>395</v>
      </c>
      <c r="E18" t="s">
        <v>391</v>
      </c>
      <c r="F18" s="6">
        <f>F16/F15</f>
        <v>0.32792774842135708</v>
      </c>
    </row>
    <row r="19" spans="1:7" x14ac:dyDescent="0.3">
      <c r="A19" s="4" t="s">
        <v>378</v>
      </c>
      <c r="B19" s="18">
        <v>8102.0800000000017</v>
      </c>
      <c r="E19" s="10"/>
      <c r="F19" s="10"/>
    </row>
    <row r="20" spans="1:7" x14ac:dyDescent="0.3">
      <c r="A20" s="4" t="s">
        <v>374</v>
      </c>
      <c r="B20" s="18">
        <v>9152.17</v>
      </c>
    </row>
    <row r="21" spans="1:7" x14ac:dyDescent="0.3">
      <c r="A21" s="4" t="s">
        <v>380</v>
      </c>
      <c r="B21" s="18">
        <v>9359.11</v>
      </c>
      <c r="D21" s="3" t="s">
        <v>5</v>
      </c>
      <c r="E21" t="s">
        <v>417</v>
      </c>
      <c r="F21" t="s">
        <v>390</v>
      </c>
      <c r="G21" t="s">
        <v>395</v>
      </c>
    </row>
    <row r="22" spans="1:7" x14ac:dyDescent="0.3">
      <c r="A22" s="4" t="s">
        <v>376</v>
      </c>
      <c r="B22" s="18">
        <v>10680.040000000003</v>
      </c>
      <c r="D22" s="4" t="s">
        <v>361</v>
      </c>
      <c r="E22" s="1">
        <v>652</v>
      </c>
      <c r="F22" s="1">
        <v>127120.38000000002</v>
      </c>
      <c r="G22" s="1">
        <v>39727.929999999986</v>
      </c>
    </row>
    <row r="23" spans="1:7" x14ac:dyDescent="0.3">
      <c r="A23" s="4" t="s">
        <v>379</v>
      </c>
      <c r="B23" s="18">
        <v>11882.390000000001</v>
      </c>
      <c r="D23" s="4" t="s">
        <v>362</v>
      </c>
      <c r="E23" s="1">
        <v>605</v>
      </c>
      <c r="F23" s="1">
        <v>112824.00000000003</v>
      </c>
      <c r="G23" s="1">
        <v>42013.04</v>
      </c>
    </row>
    <row r="24" spans="1:7" x14ac:dyDescent="0.3">
      <c r="A24" s="4" t="s">
        <v>414</v>
      </c>
      <c r="B24" s="18">
        <v>12153.470000000001</v>
      </c>
      <c r="D24" s="4" t="s">
        <v>363</v>
      </c>
      <c r="E24" s="1">
        <v>367</v>
      </c>
      <c r="F24" s="1">
        <v>77442.180000000008</v>
      </c>
      <c r="G24" s="1">
        <v>22338.890000000003</v>
      </c>
    </row>
    <row r="25" spans="1:7" x14ac:dyDescent="0.3">
      <c r="A25" s="4" t="s">
        <v>375</v>
      </c>
      <c r="B25" s="18">
        <v>13090.080000000004</v>
      </c>
      <c r="D25" s="4" t="s">
        <v>389</v>
      </c>
      <c r="E25" s="1">
        <v>1624</v>
      </c>
      <c r="F25" s="1">
        <v>317386.56000000006</v>
      </c>
      <c r="G25" s="1">
        <v>104079.85999999999</v>
      </c>
    </row>
    <row r="26" spans="1:7" x14ac:dyDescent="0.3">
      <c r="A26" s="4" t="s">
        <v>377</v>
      </c>
      <c r="B26" s="18">
        <v>13258.099999999999</v>
      </c>
    </row>
    <row r="27" spans="1:7" x14ac:dyDescent="0.3">
      <c r="A27" s="4" t="s">
        <v>389</v>
      </c>
      <c r="B27" s="18">
        <v>87677.440000000002</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9F97-CE96-4FE9-B1DE-3243223119CB}">
  <dimension ref="A1:AA78"/>
  <sheetViews>
    <sheetView tabSelected="1" zoomScale="91" workbookViewId="0">
      <selection activeCell="AD11" sqref="AD11"/>
    </sheetView>
  </sheetViews>
  <sheetFormatPr defaultRowHeight="14.4" x14ac:dyDescent="0.3"/>
  <cols>
    <col min="1" max="1" width="12.88671875" customWidth="1"/>
    <col min="2" max="2" width="5.77734375" customWidth="1"/>
    <col min="3" max="3" width="3.6640625" customWidth="1"/>
    <col min="4" max="4" width="8.6640625" customWidth="1"/>
    <col min="5" max="5" width="8.88671875" hidden="1" customWidth="1"/>
    <col min="6" max="6" width="0.88671875" customWidth="1"/>
    <col min="7" max="7" width="7.109375" customWidth="1"/>
    <col min="15" max="15" width="5.77734375" customWidth="1"/>
    <col min="16" max="16" width="12.5546875" bestFit="1" customWidth="1"/>
    <col min="17" max="17" width="12.109375" bestFit="1" customWidth="1"/>
  </cols>
  <sheetData>
    <row r="1" spans="1:27" x14ac:dyDescent="0.3">
      <c r="A1" s="13"/>
      <c r="B1" s="13"/>
      <c r="C1" s="13"/>
      <c r="D1" s="13"/>
      <c r="E1" s="13"/>
      <c r="F1" s="13"/>
      <c r="G1" s="15"/>
      <c r="H1" s="15"/>
      <c r="I1" s="15"/>
      <c r="J1" s="15"/>
      <c r="K1" s="15"/>
      <c r="L1" s="15"/>
      <c r="M1" s="15"/>
      <c r="N1" s="15"/>
      <c r="O1" s="15"/>
      <c r="P1" s="15"/>
      <c r="Q1" s="15"/>
      <c r="R1" s="15"/>
      <c r="S1" s="15"/>
      <c r="T1" s="15"/>
      <c r="U1" s="15"/>
      <c r="V1" s="15"/>
      <c r="W1" s="15"/>
      <c r="X1" s="15"/>
      <c r="Y1" s="15"/>
      <c r="Z1" s="15"/>
      <c r="AA1" s="15"/>
    </row>
    <row r="2" spans="1:27" ht="21" x14ac:dyDescent="0.4">
      <c r="A2" s="16" t="s">
        <v>398</v>
      </c>
      <c r="B2" s="13"/>
      <c r="C2" s="13"/>
      <c r="D2" s="13"/>
      <c r="E2" s="13"/>
      <c r="F2" s="13"/>
      <c r="G2" s="15"/>
      <c r="H2" s="15"/>
      <c r="I2" s="15"/>
      <c r="J2" s="15"/>
      <c r="K2" s="15"/>
      <c r="L2" s="15"/>
      <c r="M2" s="15"/>
      <c r="N2" s="15"/>
      <c r="O2" s="15"/>
      <c r="P2" s="15"/>
      <c r="Q2" s="15"/>
      <c r="R2" s="15"/>
      <c r="S2" s="15"/>
      <c r="T2" s="15"/>
      <c r="U2" s="15"/>
      <c r="V2" s="15"/>
      <c r="W2" s="15"/>
      <c r="X2" s="15"/>
      <c r="Y2" s="15"/>
      <c r="Z2" s="15"/>
      <c r="AA2" s="15"/>
    </row>
    <row r="3" spans="1:27" x14ac:dyDescent="0.3">
      <c r="A3" s="13"/>
      <c r="B3" s="13"/>
      <c r="C3" s="13"/>
      <c r="D3" s="13"/>
      <c r="E3" s="13"/>
      <c r="F3" s="13"/>
      <c r="G3" s="15"/>
      <c r="H3" s="15"/>
      <c r="I3" s="15"/>
      <c r="J3" s="15"/>
      <c r="K3" s="15"/>
      <c r="L3" s="15"/>
      <c r="M3" s="15"/>
      <c r="N3" s="15"/>
      <c r="O3" s="15"/>
      <c r="P3" s="15"/>
      <c r="Q3" s="15"/>
      <c r="R3" s="15"/>
      <c r="S3" s="15"/>
      <c r="T3" s="15"/>
      <c r="U3" s="15"/>
      <c r="V3" s="15"/>
      <c r="W3" s="15"/>
      <c r="X3" s="15"/>
      <c r="Y3" s="15"/>
      <c r="Z3" s="15"/>
      <c r="AA3" s="15"/>
    </row>
    <row r="4" spans="1:27" x14ac:dyDescent="0.3">
      <c r="A4" s="13"/>
      <c r="B4" s="13"/>
      <c r="C4" s="13"/>
      <c r="D4" s="13"/>
      <c r="E4" s="13"/>
      <c r="F4" s="13"/>
      <c r="G4" s="15"/>
      <c r="H4" s="15"/>
      <c r="I4" s="15"/>
      <c r="J4" s="15"/>
      <c r="K4" s="15"/>
      <c r="L4" s="15"/>
      <c r="M4" s="15"/>
      <c r="N4" s="15"/>
      <c r="O4" s="15"/>
      <c r="P4" s="15"/>
      <c r="Q4" s="15"/>
      <c r="R4" s="15"/>
      <c r="S4" s="15"/>
      <c r="T4" s="15"/>
      <c r="U4" s="15"/>
      <c r="V4" s="15"/>
      <c r="W4" s="15"/>
      <c r="X4" s="15"/>
      <c r="Y4" s="15"/>
      <c r="Z4" s="15"/>
      <c r="AA4" s="15"/>
    </row>
    <row r="5" spans="1:27" x14ac:dyDescent="0.3">
      <c r="A5" s="13"/>
      <c r="B5" s="13"/>
      <c r="C5" s="13"/>
      <c r="D5" s="13"/>
      <c r="E5" s="13"/>
      <c r="F5" s="13"/>
      <c r="G5" s="15"/>
      <c r="H5" s="15"/>
      <c r="I5" s="15"/>
      <c r="J5" s="15"/>
      <c r="K5" s="15"/>
      <c r="L5" s="15"/>
      <c r="M5" s="15"/>
      <c r="N5" s="15"/>
      <c r="O5" s="15"/>
      <c r="P5" s="15"/>
      <c r="Q5" s="15"/>
      <c r="R5" s="15"/>
      <c r="S5" s="15"/>
      <c r="T5" s="15"/>
      <c r="U5" s="15"/>
      <c r="V5" s="15"/>
      <c r="W5" s="15"/>
      <c r="X5" s="15"/>
      <c r="Y5" s="15"/>
      <c r="Z5" s="15"/>
      <c r="AA5" s="15"/>
    </row>
    <row r="6" spans="1:27" ht="15" customHeight="1" x14ac:dyDescent="0.3">
      <c r="A6" s="13"/>
      <c r="B6" s="13"/>
      <c r="C6" s="13"/>
      <c r="D6" s="13"/>
      <c r="E6" s="13"/>
      <c r="F6" s="13"/>
      <c r="G6" s="15"/>
      <c r="H6" s="15"/>
      <c r="I6" s="15"/>
      <c r="J6" s="15"/>
      <c r="K6" s="15"/>
      <c r="L6" s="15"/>
      <c r="M6" s="15"/>
      <c r="N6" s="15"/>
      <c r="O6" s="15"/>
      <c r="P6" s="15"/>
      <c r="Q6" s="15"/>
      <c r="R6" s="15"/>
      <c r="S6" s="15"/>
      <c r="T6" s="15"/>
      <c r="U6" s="15"/>
      <c r="V6" s="15"/>
      <c r="W6" s="15"/>
      <c r="X6" s="15"/>
      <c r="Y6" s="15"/>
      <c r="Z6" s="15"/>
      <c r="AA6" s="15"/>
    </row>
    <row r="7" spans="1:27" x14ac:dyDescent="0.3">
      <c r="A7" s="13"/>
      <c r="B7" s="13"/>
      <c r="C7" s="13"/>
      <c r="D7" s="13"/>
      <c r="E7" s="13"/>
      <c r="F7" s="13"/>
      <c r="G7" s="15"/>
      <c r="H7" s="15"/>
      <c r="I7" s="15"/>
      <c r="J7" s="15"/>
      <c r="K7" s="15"/>
      <c r="L7" s="15"/>
      <c r="M7" s="15"/>
      <c r="N7" s="15"/>
      <c r="O7" s="15"/>
      <c r="P7" s="15"/>
      <c r="Q7" s="15"/>
      <c r="R7" s="15"/>
      <c r="S7" s="15"/>
      <c r="T7" s="15"/>
      <c r="U7" s="15"/>
      <c r="V7" s="15"/>
      <c r="W7" s="15"/>
      <c r="X7" s="15"/>
      <c r="Y7" s="15"/>
      <c r="Z7" s="15"/>
      <c r="AA7" s="15"/>
    </row>
    <row r="8" spans="1:27" ht="21" x14ac:dyDescent="0.4">
      <c r="A8" s="13"/>
      <c r="B8" s="16" t="s">
        <v>399</v>
      </c>
      <c r="C8" s="13"/>
      <c r="D8" s="13"/>
      <c r="E8" s="13"/>
      <c r="F8" s="13"/>
      <c r="G8" s="15"/>
      <c r="H8" s="15"/>
      <c r="I8" s="15"/>
      <c r="J8" s="15"/>
      <c r="K8" s="15"/>
      <c r="L8" s="15"/>
      <c r="M8" s="15"/>
      <c r="N8" s="15"/>
      <c r="O8" s="15"/>
      <c r="P8" s="15"/>
      <c r="Q8" s="15"/>
      <c r="R8" s="15"/>
      <c r="S8" s="15"/>
      <c r="T8" s="15"/>
      <c r="U8" s="15"/>
      <c r="V8" s="15"/>
      <c r="W8" s="15"/>
      <c r="X8" s="15"/>
      <c r="Y8" s="15"/>
      <c r="Z8" s="15"/>
      <c r="AA8" s="15"/>
    </row>
    <row r="9" spans="1:27" x14ac:dyDescent="0.3">
      <c r="A9" s="13"/>
      <c r="B9" s="13"/>
      <c r="C9" s="13"/>
      <c r="D9" s="13"/>
      <c r="E9" s="13"/>
      <c r="F9" s="13"/>
      <c r="G9" s="15"/>
      <c r="H9" s="15"/>
      <c r="I9" s="15"/>
      <c r="J9" s="15"/>
      <c r="K9" s="15"/>
      <c r="L9" s="15"/>
      <c r="M9" s="15"/>
      <c r="N9" s="15"/>
      <c r="O9" s="15"/>
      <c r="P9" s="15"/>
      <c r="Q9" s="15"/>
      <c r="R9" s="15"/>
      <c r="S9" s="15"/>
      <c r="T9" s="15"/>
      <c r="U9" s="15"/>
      <c r="V9" s="15"/>
      <c r="W9" s="15"/>
      <c r="X9" s="15"/>
      <c r="Y9" s="15"/>
      <c r="Z9" s="15"/>
      <c r="AA9" s="15"/>
    </row>
    <row r="10" spans="1:27" x14ac:dyDescent="0.3">
      <c r="A10" s="13"/>
      <c r="B10" s="13"/>
      <c r="C10" s="13"/>
      <c r="D10" s="13"/>
      <c r="E10" s="13"/>
      <c r="F10" s="13"/>
      <c r="G10" s="15"/>
      <c r="H10" s="15"/>
      <c r="I10" s="15"/>
      <c r="J10" s="15"/>
      <c r="K10" s="15"/>
      <c r="L10" s="15"/>
      <c r="M10" s="15"/>
      <c r="N10" s="15"/>
      <c r="O10" s="15"/>
      <c r="P10" s="15"/>
      <c r="Q10" s="15"/>
      <c r="R10" s="15"/>
      <c r="S10" s="15"/>
      <c r="T10" s="15"/>
      <c r="U10" s="15"/>
      <c r="V10" s="15"/>
      <c r="W10" s="15"/>
      <c r="X10" s="15"/>
      <c r="Y10" s="15"/>
      <c r="Z10" s="15"/>
      <c r="AA10" s="15"/>
    </row>
    <row r="11" spans="1:27" x14ac:dyDescent="0.3">
      <c r="A11" s="13"/>
      <c r="B11" s="13"/>
      <c r="C11" s="13"/>
      <c r="D11" s="13"/>
      <c r="E11" s="13"/>
      <c r="F11" s="13"/>
      <c r="G11" s="15"/>
      <c r="H11" s="15"/>
      <c r="I11" s="15"/>
      <c r="J11" s="15"/>
      <c r="K11" s="15"/>
      <c r="L11" s="15"/>
      <c r="M11" s="15"/>
      <c r="N11" s="15"/>
      <c r="O11" s="15"/>
      <c r="P11" s="15"/>
      <c r="Q11" s="15"/>
      <c r="R11" s="15"/>
      <c r="S11" s="15"/>
      <c r="T11" s="15"/>
      <c r="U11" s="15"/>
      <c r="V11" s="15"/>
      <c r="W11" s="15"/>
      <c r="X11" s="15"/>
      <c r="Y11" s="15"/>
      <c r="Z11" s="15"/>
      <c r="AA11" s="15"/>
    </row>
    <row r="12" spans="1:27" x14ac:dyDescent="0.3">
      <c r="A12" s="13"/>
      <c r="B12" s="13"/>
      <c r="C12" s="13"/>
      <c r="D12" s="13"/>
      <c r="E12" s="13"/>
      <c r="F12" s="13"/>
      <c r="G12" s="15"/>
      <c r="H12" s="15"/>
      <c r="I12" s="15"/>
      <c r="J12" s="15"/>
      <c r="K12" s="15"/>
      <c r="L12" s="15"/>
      <c r="M12" s="15"/>
      <c r="N12" s="15"/>
      <c r="O12" s="15"/>
      <c r="P12" s="15"/>
      <c r="Q12" s="15"/>
      <c r="R12" s="15"/>
      <c r="S12" s="15"/>
      <c r="T12" s="15"/>
      <c r="U12" s="15"/>
      <c r="V12" s="15"/>
      <c r="W12" s="15"/>
      <c r="X12" s="15"/>
      <c r="Y12" s="15"/>
      <c r="Z12" s="15"/>
      <c r="AA12" s="15"/>
    </row>
    <row r="13" spans="1:27" x14ac:dyDescent="0.3">
      <c r="A13" s="13"/>
      <c r="B13" s="13"/>
      <c r="C13" s="13"/>
      <c r="D13" s="13"/>
      <c r="E13" s="13"/>
      <c r="F13" s="13"/>
      <c r="G13" s="15"/>
      <c r="H13" s="15"/>
      <c r="I13" s="15"/>
      <c r="J13" s="15"/>
      <c r="K13" s="15"/>
      <c r="L13" s="15"/>
      <c r="M13" s="15"/>
      <c r="N13" s="15"/>
      <c r="O13" s="15"/>
      <c r="P13" s="15"/>
      <c r="Q13" s="15"/>
      <c r="R13" s="15"/>
      <c r="S13" s="15"/>
      <c r="T13" s="15"/>
      <c r="U13" s="15"/>
      <c r="V13" s="15"/>
      <c r="W13" s="15"/>
      <c r="X13" s="15"/>
      <c r="Y13" s="15"/>
      <c r="Z13" s="15"/>
      <c r="AA13" s="15"/>
    </row>
    <row r="14" spans="1:27" ht="21" x14ac:dyDescent="0.4">
      <c r="A14" s="16" t="s">
        <v>426</v>
      </c>
      <c r="B14" s="13"/>
      <c r="C14" s="13"/>
      <c r="D14" s="13"/>
      <c r="E14" s="13"/>
      <c r="F14" s="13"/>
      <c r="G14" s="15"/>
      <c r="H14" s="15"/>
      <c r="I14" s="15"/>
      <c r="J14" s="15"/>
      <c r="K14" s="15"/>
      <c r="L14" s="15"/>
      <c r="M14" s="15"/>
      <c r="N14" s="15"/>
      <c r="O14" s="15"/>
      <c r="P14" s="15"/>
      <c r="Q14" s="15"/>
      <c r="R14" s="15"/>
      <c r="S14" s="15"/>
      <c r="T14" s="15"/>
      <c r="U14" s="15"/>
      <c r="V14" s="15"/>
      <c r="W14" s="15"/>
      <c r="X14" s="15"/>
      <c r="Y14" s="15"/>
      <c r="Z14" s="15"/>
      <c r="AA14" s="15"/>
    </row>
    <row r="15" spans="1:27" x14ac:dyDescent="0.3">
      <c r="A15" s="13"/>
      <c r="B15" s="13"/>
      <c r="C15" s="13"/>
      <c r="D15" s="13"/>
      <c r="E15" s="13"/>
      <c r="F15" s="13"/>
      <c r="G15" s="15"/>
      <c r="H15" s="15"/>
      <c r="I15" s="15"/>
      <c r="J15" s="15"/>
      <c r="K15" s="15"/>
      <c r="L15" s="15"/>
      <c r="M15" s="15"/>
      <c r="N15" s="15"/>
      <c r="O15" s="15"/>
      <c r="P15" s="15"/>
      <c r="Q15" s="15"/>
      <c r="R15" s="15"/>
      <c r="S15" s="15"/>
      <c r="T15" s="15"/>
      <c r="U15" s="15"/>
      <c r="V15" s="15"/>
      <c r="W15" s="15"/>
      <c r="X15" s="15"/>
      <c r="Y15" s="15"/>
      <c r="Z15" s="15"/>
      <c r="AA15" s="15"/>
    </row>
    <row r="16" spans="1:27" x14ac:dyDescent="0.3">
      <c r="A16" s="13"/>
      <c r="B16" s="13"/>
      <c r="C16" s="13"/>
      <c r="D16" s="13"/>
      <c r="E16" s="13"/>
      <c r="F16" s="13"/>
      <c r="G16" s="15"/>
      <c r="H16" s="15"/>
      <c r="I16" s="15"/>
      <c r="J16" s="15"/>
      <c r="K16" s="15"/>
      <c r="L16" s="15"/>
      <c r="M16" s="15"/>
      <c r="N16" s="15"/>
      <c r="O16" s="15"/>
      <c r="P16" s="15"/>
      <c r="Q16" s="15"/>
      <c r="R16" s="15"/>
      <c r="S16" s="15"/>
      <c r="T16" s="15"/>
      <c r="U16" s="15"/>
      <c r="V16" s="15"/>
      <c r="W16" s="15"/>
      <c r="X16" s="15"/>
      <c r="Y16" s="15"/>
      <c r="Z16" s="15"/>
      <c r="AA16" s="15"/>
    </row>
    <row r="17" spans="1:27" x14ac:dyDescent="0.3">
      <c r="A17" s="13"/>
      <c r="B17" s="13"/>
      <c r="C17" s="13"/>
      <c r="D17" s="13"/>
      <c r="E17" s="13"/>
      <c r="F17" s="13"/>
      <c r="G17" s="15"/>
      <c r="H17" s="15"/>
      <c r="I17" s="15"/>
      <c r="J17" s="15"/>
      <c r="K17" s="15"/>
      <c r="L17" s="15"/>
      <c r="M17" s="15"/>
      <c r="N17" s="15"/>
      <c r="O17" s="15"/>
      <c r="P17" s="15"/>
      <c r="Q17" s="15"/>
      <c r="R17" s="15"/>
      <c r="S17" s="15"/>
      <c r="T17" s="15"/>
      <c r="U17" s="15"/>
      <c r="V17" s="15"/>
      <c r="W17" s="15"/>
      <c r="X17" s="15"/>
      <c r="Y17" s="15"/>
      <c r="Z17" s="15"/>
      <c r="AA17" s="15"/>
    </row>
    <row r="18" spans="1:27" x14ac:dyDescent="0.3">
      <c r="A18" s="13"/>
      <c r="B18" s="13"/>
      <c r="C18" s="13"/>
      <c r="D18" s="13"/>
      <c r="E18" s="13"/>
      <c r="F18" s="13"/>
      <c r="G18" s="15"/>
      <c r="H18" s="15"/>
      <c r="I18" s="15"/>
      <c r="J18" s="15"/>
      <c r="K18" s="15"/>
      <c r="L18" s="15"/>
      <c r="M18" s="15"/>
      <c r="N18" s="15"/>
      <c r="O18" s="15"/>
      <c r="P18" s="15"/>
      <c r="Q18" s="15"/>
      <c r="R18" s="15"/>
      <c r="S18" s="15"/>
      <c r="T18" s="15"/>
      <c r="U18" s="15"/>
      <c r="V18" s="15"/>
      <c r="W18" s="15"/>
      <c r="X18" s="15"/>
      <c r="Y18" s="15"/>
      <c r="Z18" s="15"/>
      <c r="AA18" s="15"/>
    </row>
    <row r="19" spans="1:27" x14ac:dyDescent="0.3">
      <c r="A19" s="13"/>
      <c r="B19" s="13"/>
      <c r="C19" s="13"/>
      <c r="D19" s="13"/>
      <c r="E19" s="13"/>
      <c r="F19" s="13"/>
      <c r="G19" s="15"/>
      <c r="H19" s="15"/>
      <c r="I19" s="15"/>
      <c r="J19" s="15"/>
      <c r="K19" s="15"/>
      <c r="L19" s="15"/>
      <c r="M19" s="15"/>
      <c r="N19" s="15"/>
      <c r="O19" s="15"/>
      <c r="P19" s="15"/>
      <c r="Q19" s="15"/>
      <c r="R19" s="15"/>
      <c r="S19" s="15"/>
      <c r="T19" s="15"/>
      <c r="U19" s="15"/>
      <c r="V19" s="15"/>
      <c r="W19" s="15"/>
      <c r="X19" s="15"/>
      <c r="Y19" s="15"/>
      <c r="Z19" s="15"/>
      <c r="AA19" s="15"/>
    </row>
    <row r="20" spans="1:27" ht="21" x14ac:dyDescent="0.4">
      <c r="A20" s="13"/>
      <c r="B20" s="16" t="s">
        <v>391</v>
      </c>
      <c r="C20" s="13"/>
      <c r="D20" s="13"/>
      <c r="E20" s="13"/>
      <c r="F20" s="13"/>
      <c r="G20" s="15"/>
      <c r="H20" s="15"/>
      <c r="I20" s="15"/>
      <c r="J20" s="15"/>
      <c r="K20" s="15"/>
      <c r="L20" s="15"/>
      <c r="M20" s="15"/>
      <c r="N20" s="15"/>
      <c r="O20" s="15"/>
      <c r="P20" s="15"/>
      <c r="Q20" s="15"/>
      <c r="R20" s="15"/>
      <c r="S20" s="15"/>
      <c r="T20" s="15"/>
      <c r="U20" s="15"/>
      <c r="V20" s="15"/>
      <c r="W20" s="15"/>
      <c r="X20" s="15"/>
      <c r="Y20" s="15"/>
      <c r="Z20" s="15"/>
      <c r="AA20" s="15"/>
    </row>
    <row r="21" spans="1:27" x14ac:dyDescent="0.3">
      <c r="A21" s="13"/>
      <c r="B21" s="13"/>
      <c r="C21" s="13"/>
      <c r="D21" s="13"/>
      <c r="E21" s="13"/>
      <c r="F21" s="13"/>
      <c r="G21" s="15"/>
      <c r="H21" s="15"/>
      <c r="I21" s="15"/>
      <c r="J21" s="15"/>
      <c r="K21" s="15"/>
      <c r="L21" s="15"/>
      <c r="M21" s="15"/>
      <c r="N21" s="15"/>
      <c r="O21" s="15"/>
      <c r="P21" s="15"/>
      <c r="Q21" s="15"/>
      <c r="R21" s="15"/>
      <c r="S21" s="15"/>
      <c r="T21" s="15"/>
      <c r="U21" s="15"/>
      <c r="V21" s="15"/>
      <c r="W21" s="15"/>
      <c r="X21" s="15"/>
      <c r="Y21" s="15"/>
      <c r="Z21" s="15"/>
      <c r="AA21" s="15"/>
    </row>
    <row r="22" spans="1:27" x14ac:dyDescent="0.3">
      <c r="A22" s="13"/>
      <c r="B22" s="13"/>
      <c r="C22" s="13"/>
      <c r="D22" s="13"/>
      <c r="E22" s="13"/>
      <c r="F22" s="13"/>
      <c r="G22" s="15"/>
      <c r="H22" s="15"/>
      <c r="I22" s="15"/>
      <c r="J22" s="15"/>
      <c r="K22" s="15"/>
      <c r="L22" s="15"/>
      <c r="M22" s="15"/>
      <c r="N22" s="15"/>
      <c r="O22" s="15"/>
      <c r="P22" s="15"/>
      <c r="Q22" s="15"/>
      <c r="R22" s="15"/>
      <c r="S22" s="15"/>
      <c r="T22" s="15"/>
      <c r="U22" s="15"/>
      <c r="V22" s="15"/>
      <c r="W22" s="15"/>
      <c r="X22" s="15"/>
      <c r="Y22" s="15"/>
      <c r="Z22" s="15"/>
      <c r="AA22" s="15"/>
    </row>
    <row r="23" spans="1:27" x14ac:dyDescent="0.3">
      <c r="A23" s="13"/>
      <c r="B23" s="13"/>
      <c r="C23" s="13"/>
      <c r="D23" s="13"/>
      <c r="E23" s="13"/>
      <c r="F23" s="13"/>
      <c r="G23" s="15"/>
      <c r="H23" s="15"/>
      <c r="I23" s="15"/>
      <c r="J23" s="15"/>
      <c r="K23" s="15"/>
      <c r="L23" s="15"/>
      <c r="M23" s="15"/>
      <c r="N23" s="15"/>
      <c r="O23" s="15"/>
      <c r="P23" s="15"/>
      <c r="Q23" s="15"/>
      <c r="R23" s="15"/>
      <c r="S23" s="15"/>
      <c r="T23" s="15"/>
      <c r="U23" s="15"/>
      <c r="V23" s="15"/>
      <c r="W23" s="15"/>
      <c r="X23" s="15"/>
      <c r="Y23" s="15"/>
      <c r="Z23" s="15"/>
      <c r="AA23" s="15"/>
    </row>
    <row r="24" spans="1:27" x14ac:dyDescent="0.3">
      <c r="A24" s="13"/>
      <c r="B24" s="13"/>
      <c r="C24" s="13"/>
      <c r="D24" s="13"/>
      <c r="E24" s="13"/>
      <c r="F24" s="13"/>
      <c r="G24" s="15"/>
      <c r="H24" s="15"/>
      <c r="I24" s="15"/>
      <c r="J24" s="15"/>
      <c r="K24" s="15"/>
      <c r="L24" s="15"/>
      <c r="M24" s="15"/>
      <c r="N24" s="15"/>
      <c r="O24" s="15"/>
      <c r="P24" s="15"/>
      <c r="Q24" s="15"/>
      <c r="R24" s="15"/>
      <c r="S24" s="15"/>
      <c r="T24" s="15"/>
      <c r="U24" s="15"/>
      <c r="V24" s="15"/>
      <c r="W24" s="15"/>
      <c r="X24" s="15"/>
      <c r="Y24" s="15"/>
      <c r="Z24" s="15"/>
      <c r="AA24" s="15"/>
    </row>
    <row r="25" spans="1:27" x14ac:dyDescent="0.3">
      <c r="A25" s="13"/>
      <c r="B25" s="13"/>
      <c r="C25" s="13"/>
      <c r="D25" s="13"/>
      <c r="E25" s="13"/>
      <c r="F25" s="13"/>
      <c r="G25" s="15"/>
      <c r="H25" s="15"/>
      <c r="I25" s="15"/>
      <c r="J25" s="15"/>
      <c r="K25" s="15"/>
      <c r="L25" s="15"/>
      <c r="M25" s="15"/>
      <c r="N25" s="15"/>
      <c r="O25" s="15"/>
      <c r="P25" s="15"/>
      <c r="Q25" s="15"/>
      <c r="R25" s="15"/>
      <c r="S25" s="15"/>
      <c r="T25" s="15"/>
      <c r="U25" s="15"/>
      <c r="V25" s="15"/>
      <c r="W25" s="15"/>
      <c r="X25" s="15"/>
      <c r="Y25" s="15"/>
      <c r="Z25" s="15"/>
      <c r="AA25" s="15"/>
    </row>
    <row r="26" spans="1:27" x14ac:dyDescent="0.3">
      <c r="A26" s="13"/>
      <c r="B26" s="13"/>
      <c r="C26" s="13"/>
      <c r="D26" s="13"/>
      <c r="E26" s="13"/>
      <c r="F26" s="13"/>
      <c r="G26" s="15"/>
      <c r="H26" s="15"/>
      <c r="I26" s="15"/>
      <c r="J26" s="15"/>
      <c r="K26" s="15"/>
      <c r="L26" s="15"/>
      <c r="M26" s="15"/>
      <c r="N26" s="15"/>
      <c r="O26" s="15"/>
      <c r="P26" s="15"/>
      <c r="Q26" s="15"/>
      <c r="R26" s="15"/>
      <c r="S26" s="15"/>
      <c r="T26" s="15"/>
      <c r="U26" s="15"/>
      <c r="V26" s="15"/>
      <c r="W26" s="15"/>
      <c r="X26" s="15"/>
      <c r="Y26" s="15"/>
      <c r="Z26" s="15"/>
      <c r="AA26" s="15"/>
    </row>
    <row r="27" spans="1:27" x14ac:dyDescent="0.3">
      <c r="A27" s="13"/>
      <c r="B27" s="13"/>
      <c r="C27" s="13"/>
      <c r="D27" s="13"/>
      <c r="E27" s="13"/>
      <c r="F27" s="13"/>
      <c r="G27" s="15"/>
      <c r="H27" s="15"/>
      <c r="I27" s="15"/>
      <c r="J27" s="15"/>
      <c r="K27" s="15"/>
      <c r="L27" s="15"/>
      <c r="M27" s="15"/>
      <c r="N27" s="15"/>
      <c r="O27" s="15"/>
      <c r="P27" s="15"/>
      <c r="Q27" s="15"/>
      <c r="R27" s="15"/>
      <c r="S27" s="15"/>
      <c r="T27" s="15"/>
      <c r="U27" s="15"/>
      <c r="V27" s="15"/>
      <c r="W27" s="15"/>
      <c r="X27" s="15"/>
      <c r="Y27" s="15"/>
      <c r="Z27" s="15"/>
      <c r="AA27" s="15"/>
    </row>
    <row r="28" spans="1:27" x14ac:dyDescent="0.3">
      <c r="A28" s="14"/>
      <c r="B28" s="14"/>
      <c r="C28" s="14"/>
      <c r="D28" s="14"/>
      <c r="E28" s="14"/>
      <c r="F28" s="14"/>
      <c r="G28" s="15"/>
      <c r="H28" s="15"/>
      <c r="I28" s="15"/>
      <c r="J28" s="15"/>
      <c r="K28" s="15"/>
      <c r="L28" s="15"/>
      <c r="M28" s="15"/>
      <c r="N28" s="15"/>
      <c r="O28" s="15"/>
      <c r="P28" s="15"/>
      <c r="Q28" s="15"/>
      <c r="R28" s="15"/>
      <c r="S28" s="15"/>
      <c r="T28" s="15"/>
      <c r="U28" s="15"/>
      <c r="V28" s="15"/>
      <c r="W28" s="15"/>
      <c r="X28" s="15"/>
      <c r="Y28" s="15"/>
      <c r="Z28" s="15"/>
      <c r="AA28" s="15"/>
    </row>
    <row r="29" spans="1:27" x14ac:dyDescent="0.3">
      <c r="A29" s="14"/>
      <c r="B29" s="14"/>
      <c r="C29" s="14"/>
      <c r="D29" s="14"/>
      <c r="E29" s="14"/>
      <c r="F29" s="14"/>
      <c r="G29" s="15"/>
      <c r="H29" s="15"/>
      <c r="I29" s="15"/>
      <c r="J29" s="15"/>
      <c r="K29" s="15"/>
      <c r="L29" s="15"/>
      <c r="M29" s="15"/>
      <c r="N29" s="15"/>
      <c r="O29" s="15"/>
      <c r="P29" s="15"/>
      <c r="Q29" s="15"/>
      <c r="R29" s="15"/>
      <c r="S29" s="15"/>
      <c r="T29" s="15"/>
      <c r="U29" s="15"/>
      <c r="V29" s="15"/>
      <c r="W29" s="15"/>
      <c r="X29" s="15"/>
      <c r="Y29" s="15"/>
      <c r="Z29" s="15"/>
      <c r="AA29" s="15"/>
    </row>
    <row r="30" spans="1:27" x14ac:dyDescent="0.3">
      <c r="A30" s="14"/>
      <c r="B30" s="14"/>
      <c r="C30" s="14"/>
      <c r="D30" s="14"/>
      <c r="E30" s="14"/>
      <c r="F30" s="14"/>
      <c r="G30" s="15"/>
      <c r="H30" s="15"/>
      <c r="I30" s="15"/>
      <c r="J30" s="15"/>
      <c r="K30" s="15"/>
      <c r="L30" s="15"/>
      <c r="M30" s="15"/>
      <c r="N30" s="15"/>
      <c r="O30" s="15"/>
      <c r="P30" s="15"/>
      <c r="Q30" s="15"/>
      <c r="R30" s="15"/>
      <c r="S30" s="15"/>
      <c r="T30" s="15"/>
      <c r="U30" s="15"/>
      <c r="V30" s="15"/>
      <c r="W30" s="15"/>
      <c r="X30" s="15"/>
      <c r="Y30" s="15"/>
      <c r="Z30" s="15"/>
      <c r="AA30" s="15"/>
    </row>
    <row r="31" spans="1:27" x14ac:dyDescent="0.3">
      <c r="A31" s="14"/>
      <c r="B31" s="14"/>
      <c r="C31" s="14"/>
      <c r="D31" s="14"/>
      <c r="E31" s="14"/>
      <c r="F31" s="14"/>
      <c r="G31" s="15"/>
      <c r="H31" s="15"/>
      <c r="I31" s="15"/>
      <c r="J31" s="15"/>
      <c r="K31" s="15"/>
      <c r="L31" s="15"/>
      <c r="M31" s="15"/>
      <c r="N31" s="15"/>
      <c r="O31" s="15"/>
      <c r="P31" s="15"/>
      <c r="Q31" s="15"/>
      <c r="R31" s="15"/>
      <c r="S31" s="15"/>
      <c r="T31" s="15"/>
      <c r="U31" s="15"/>
      <c r="V31" s="15"/>
      <c r="W31" s="15"/>
      <c r="X31" s="15"/>
      <c r="Y31" s="15"/>
      <c r="Z31" s="15"/>
      <c r="AA31" s="15"/>
    </row>
    <row r="32" spans="1:27" x14ac:dyDescent="0.3">
      <c r="A32" s="14"/>
      <c r="B32" s="14"/>
      <c r="C32" s="14"/>
      <c r="D32" s="14"/>
      <c r="E32" s="14"/>
      <c r="F32" s="14"/>
      <c r="G32" s="15"/>
      <c r="H32" s="15"/>
      <c r="I32" s="15"/>
      <c r="J32" s="15"/>
      <c r="K32" s="15"/>
      <c r="L32" s="15"/>
      <c r="M32" s="15"/>
      <c r="N32" s="15"/>
      <c r="O32" s="15"/>
      <c r="P32" s="15"/>
      <c r="Q32" s="15"/>
      <c r="R32" s="15"/>
      <c r="S32" s="15"/>
      <c r="T32" s="15"/>
      <c r="U32" s="15"/>
      <c r="V32" s="15"/>
      <c r="W32" s="15"/>
      <c r="X32" s="15"/>
      <c r="Y32" s="15"/>
      <c r="Z32" s="15"/>
      <c r="AA32" s="15"/>
    </row>
    <row r="33" spans="1:27" x14ac:dyDescent="0.3">
      <c r="A33" s="14"/>
      <c r="B33" s="14"/>
      <c r="C33" s="14"/>
      <c r="D33" s="14"/>
      <c r="E33" s="14"/>
      <c r="F33" s="14"/>
      <c r="G33" s="15"/>
      <c r="H33" s="15"/>
      <c r="I33" s="15"/>
      <c r="J33" s="15"/>
      <c r="K33" s="15"/>
      <c r="L33" s="15"/>
      <c r="M33" s="15"/>
      <c r="N33" s="15"/>
      <c r="O33" s="15"/>
      <c r="P33" s="15"/>
      <c r="Q33" s="15"/>
      <c r="R33" s="15"/>
      <c r="S33" s="15"/>
      <c r="T33" s="15"/>
      <c r="U33" s="15"/>
      <c r="V33" s="15"/>
      <c r="W33" s="15"/>
      <c r="X33" s="15"/>
      <c r="Y33" s="15"/>
      <c r="Z33" s="15"/>
      <c r="AA33" s="15"/>
    </row>
    <row r="34" spans="1:27" x14ac:dyDescent="0.3">
      <c r="A34" s="14"/>
      <c r="B34" s="14"/>
      <c r="C34" s="14"/>
      <c r="D34" s="14"/>
      <c r="E34" s="14"/>
      <c r="F34" s="14"/>
      <c r="G34" s="15"/>
      <c r="H34" s="15"/>
      <c r="I34" s="15"/>
      <c r="J34" s="15"/>
      <c r="K34" s="15"/>
      <c r="L34" s="15"/>
      <c r="M34" s="15"/>
      <c r="N34" s="15"/>
      <c r="O34" s="15"/>
      <c r="P34" s="15"/>
      <c r="Q34" s="15"/>
      <c r="R34" s="15"/>
      <c r="S34" s="15"/>
      <c r="T34" s="15"/>
      <c r="U34" s="15"/>
      <c r="V34" s="15"/>
      <c r="W34" s="15"/>
      <c r="X34" s="15"/>
      <c r="Y34" s="15"/>
      <c r="Z34" s="15"/>
      <c r="AA34" s="15"/>
    </row>
    <row r="35" spans="1:27" x14ac:dyDescent="0.3">
      <c r="A35" s="14"/>
      <c r="B35" s="14"/>
      <c r="C35" s="14"/>
      <c r="D35" s="14"/>
      <c r="E35" s="14"/>
      <c r="F35" s="14"/>
      <c r="G35" s="15"/>
      <c r="H35" s="15"/>
      <c r="I35" s="15"/>
      <c r="J35" s="15"/>
      <c r="K35" s="15"/>
      <c r="L35" s="15"/>
      <c r="M35" s="15"/>
      <c r="N35" s="15"/>
      <c r="O35" s="15"/>
      <c r="P35" s="15"/>
      <c r="Q35" s="15"/>
      <c r="R35" s="15"/>
      <c r="S35" s="15"/>
      <c r="T35" s="15"/>
      <c r="U35" s="15"/>
      <c r="V35" s="15"/>
      <c r="W35" s="15"/>
      <c r="X35" s="15"/>
      <c r="Y35" s="15"/>
      <c r="Z35" s="15"/>
      <c r="AA35" s="15"/>
    </row>
    <row r="36" spans="1:27" x14ac:dyDescent="0.3">
      <c r="A36" s="14"/>
      <c r="B36" s="14"/>
      <c r="C36" s="14"/>
      <c r="D36" s="14"/>
      <c r="E36" s="14"/>
      <c r="F36" s="14"/>
      <c r="G36" s="15"/>
      <c r="H36" s="15"/>
      <c r="I36" s="15"/>
      <c r="J36" s="15"/>
      <c r="K36" s="15"/>
      <c r="L36" s="15"/>
      <c r="M36" s="15"/>
      <c r="N36" s="15"/>
      <c r="O36" s="15"/>
      <c r="P36" s="15"/>
      <c r="Q36" s="15"/>
      <c r="R36" s="15"/>
      <c r="S36" s="15"/>
      <c r="T36" s="15"/>
      <c r="U36" s="15"/>
      <c r="V36" s="15"/>
      <c r="W36" s="15"/>
      <c r="X36" s="15"/>
      <c r="Y36" s="15"/>
      <c r="Z36" s="15"/>
      <c r="AA36" s="15"/>
    </row>
    <row r="37" spans="1:27" x14ac:dyDescent="0.3">
      <c r="A37" s="14"/>
      <c r="B37" s="14"/>
      <c r="C37" s="14"/>
      <c r="D37" s="14"/>
      <c r="E37" s="14"/>
      <c r="F37" s="14"/>
      <c r="G37" s="15"/>
      <c r="H37" s="15"/>
      <c r="I37" s="15"/>
      <c r="J37" s="15"/>
      <c r="K37" s="15"/>
      <c r="L37" s="15"/>
      <c r="M37" s="15"/>
      <c r="N37" s="15"/>
      <c r="O37" s="15"/>
      <c r="P37" s="15"/>
      <c r="Q37" s="15"/>
      <c r="R37" s="15"/>
      <c r="S37" s="15"/>
      <c r="T37" s="15"/>
      <c r="U37" s="15"/>
      <c r="V37" s="15"/>
      <c r="W37" s="15"/>
      <c r="X37" s="15"/>
      <c r="Y37" s="15"/>
      <c r="Z37" s="15"/>
      <c r="AA37" s="15"/>
    </row>
    <row r="38" spans="1:27" x14ac:dyDescent="0.3">
      <c r="A38" s="14"/>
      <c r="B38" s="14"/>
      <c r="C38" s="14"/>
      <c r="D38" s="14"/>
      <c r="E38" s="14"/>
      <c r="F38" s="14"/>
      <c r="G38" s="15"/>
      <c r="H38" s="15"/>
      <c r="I38" s="15"/>
      <c r="J38" s="15"/>
      <c r="K38" s="15"/>
      <c r="L38" s="15"/>
      <c r="M38" s="15"/>
      <c r="N38" s="15"/>
      <c r="O38" s="15"/>
      <c r="P38" s="15"/>
      <c r="Q38" s="15"/>
      <c r="R38" s="15"/>
      <c r="S38" s="15"/>
      <c r="T38" s="15"/>
      <c r="U38" s="15"/>
      <c r="V38" s="15"/>
      <c r="W38" s="15"/>
      <c r="X38" s="15"/>
      <c r="Y38" s="15"/>
      <c r="Z38" s="15"/>
      <c r="AA38" s="15"/>
    </row>
    <row r="39" spans="1:27" x14ac:dyDescent="0.3">
      <c r="A39" s="14"/>
      <c r="B39" s="14"/>
      <c r="C39" s="14"/>
      <c r="D39" s="14"/>
      <c r="E39" s="14"/>
      <c r="F39" s="14"/>
      <c r="G39" s="15"/>
      <c r="H39" s="15"/>
      <c r="I39" s="15"/>
      <c r="J39" s="15"/>
      <c r="K39" s="15"/>
      <c r="L39" s="15"/>
      <c r="M39" s="15"/>
      <c r="N39" s="15"/>
      <c r="O39" s="15"/>
      <c r="P39" s="15"/>
      <c r="Q39" s="15"/>
      <c r="R39" s="15"/>
      <c r="S39" s="15"/>
      <c r="T39" s="15"/>
      <c r="U39" s="15"/>
      <c r="V39" s="15"/>
      <c r="W39" s="15"/>
      <c r="X39" s="15"/>
      <c r="Y39" s="15"/>
      <c r="Z39" s="15"/>
      <c r="AA39" s="15"/>
    </row>
    <row r="40" spans="1:27" x14ac:dyDescent="0.3">
      <c r="A40" s="14"/>
      <c r="B40" s="14"/>
      <c r="C40" s="14"/>
      <c r="D40" s="14"/>
      <c r="E40" s="14"/>
      <c r="F40" s="14"/>
      <c r="G40" s="15"/>
      <c r="H40" s="15"/>
      <c r="I40" s="15"/>
      <c r="J40" s="15"/>
      <c r="K40" s="15"/>
      <c r="L40" s="15"/>
      <c r="M40" s="15"/>
      <c r="N40" s="15"/>
      <c r="O40" s="15"/>
      <c r="P40" s="15"/>
      <c r="Q40" s="15"/>
      <c r="R40" s="15"/>
      <c r="S40" s="15"/>
      <c r="T40" s="15"/>
      <c r="U40" s="15"/>
      <c r="V40" s="15"/>
      <c r="W40" s="15"/>
      <c r="X40" s="15"/>
      <c r="Y40" s="15"/>
      <c r="Z40" s="15"/>
      <c r="AA40" s="15"/>
    </row>
    <row r="41" spans="1:27" x14ac:dyDescent="0.3">
      <c r="A41" s="14"/>
      <c r="B41" s="14"/>
      <c r="C41" s="14"/>
      <c r="D41" s="14"/>
      <c r="E41" s="14"/>
      <c r="F41" s="14"/>
      <c r="G41" s="15"/>
      <c r="H41" s="15"/>
      <c r="I41" s="15"/>
      <c r="J41" s="15"/>
      <c r="K41" s="15"/>
      <c r="L41" s="15"/>
      <c r="M41" s="15"/>
      <c r="N41" s="15"/>
      <c r="O41" s="15"/>
      <c r="P41" s="15"/>
      <c r="Q41" s="15"/>
      <c r="R41" s="15"/>
      <c r="S41" s="15"/>
      <c r="T41" s="15"/>
      <c r="U41" s="15"/>
      <c r="V41" s="15"/>
      <c r="W41" s="15"/>
      <c r="X41" s="15"/>
      <c r="Y41" s="15"/>
      <c r="Z41" s="15"/>
      <c r="AA41" s="15"/>
    </row>
    <row r="42" spans="1:27" x14ac:dyDescent="0.3">
      <c r="G42" s="10"/>
      <c r="H42" s="10"/>
      <c r="I42" s="10"/>
      <c r="J42" s="10"/>
      <c r="K42" s="10"/>
      <c r="L42" s="10"/>
      <c r="M42" s="10"/>
      <c r="N42" s="10"/>
      <c r="O42" s="10"/>
      <c r="P42" s="10"/>
      <c r="Q42" s="10"/>
      <c r="R42" s="10"/>
      <c r="S42" s="10"/>
      <c r="T42" s="10"/>
      <c r="U42" s="10"/>
      <c r="V42" s="10"/>
      <c r="W42" s="10"/>
      <c r="X42" s="10"/>
      <c r="Y42" s="10"/>
      <c r="Z42" s="10"/>
    </row>
    <row r="43" spans="1:27" x14ac:dyDescent="0.3">
      <c r="G43" s="10"/>
      <c r="H43" s="10"/>
      <c r="I43" s="10"/>
      <c r="J43" s="10"/>
      <c r="K43" s="10"/>
      <c r="L43" s="10"/>
      <c r="M43" s="10"/>
      <c r="N43" s="10"/>
      <c r="O43" s="10"/>
      <c r="P43" s="10"/>
      <c r="Q43" s="10"/>
      <c r="R43" s="10"/>
      <c r="S43" s="10"/>
      <c r="T43" s="10"/>
      <c r="U43" s="10"/>
      <c r="V43" s="10"/>
      <c r="W43" s="10"/>
      <c r="X43" s="10"/>
      <c r="Y43" s="10"/>
      <c r="Z43" s="10"/>
    </row>
    <row r="44" spans="1:27" x14ac:dyDescent="0.3">
      <c r="G44" s="10"/>
      <c r="H44" s="10"/>
      <c r="I44" s="10"/>
      <c r="J44" s="10"/>
      <c r="K44" s="10"/>
      <c r="L44" s="10"/>
      <c r="M44" s="10"/>
      <c r="N44" s="10"/>
      <c r="O44" s="10"/>
      <c r="P44" s="10"/>
      <c r="Q44" s="10"/>
      <c r="R44" s="10"/>
      <c r="S44" s="10"/>
      <c r="T44" s="10"/>
      <c r="U44" s="10"/>
      <c r="V44" s="10"/>
      <c r="W44" s="10"/>
      <c r="X44" s="10"/>
      <c r="Y44" s="10"/>
      <c r="Z44" s="10"/>
    </row>
    <row r="45" spans="1:27" x14ac:dyDescent="0.3">
      <c r="G45" s="10"/>
      <c r="H45" s="10"/>
      <c r="I45" s="10"/>
      <c r="J45" s="10"/>
      <c r="K45" s="10"/>
      <c r="L45" s="10"/>
      <c r="M45" s="10"/>
      <c r="N45" s="10"/>
      <c r="O45" s="10"/>
      <c r="R45" s="10"/>
      <c r="S45" s="10"/>
      <c r="T45" s="10"/>
      <c r="U45" s="10"/>
      <c r="V45" s="10"/>
      <c r="W45" s="10"/>
      <c r="X45" s="10"/>
      <c r="Y45" s="10"/>
      <c r="Z45" s="10"/>
    </row>
    <row r="46" spans="1:27" x14ac:dyDescent="0.3">
      <c r="G46" s="10"/>
      <c r="H46" s="10"/>
      <c r="I46" s="10"/>
      <c r="J46" s="10"/>
      <c r="K46" s="10"/>
      <c r="L46" s="10"/>
      <c r="M46" s="10"/>
      <c r="N46" s="10"/>
      <c r="O46" s="10"/>
      <c r="R46" s="10"/>
      <c r="S46" s="10"/>
      <c r="T46" s="10"/>
      <c r="U46" s="10"/>
      <c r="V46" s="10"/>
      <c r="W46" s="10"/>
      <c r="X46" s="10"/>
      <c r="Y46" s="10"/>
      <c r="Z46" s="10"/>
    </row>
    <row r="47" spans="1:27" x14ac:dyDescent="0.3">
      <c r="G47" s="10"/>
      <c r="H47" s="10"/>
      <c r="I47" s="10"/>
      <c r="J47" s="10"/>
      <c r="K47" s="10"/>
      <c r="L47" s="10"/>
      <c r="M47" s="10"/>
      <c r="N47" s="10"/>
      <c r="O47" s="10"/>
      <c r="R47" s="10"/>
      <c r="S47" s="10"/>
      <c r="T47" s="10"/>
      <c r="U47" s="10"/>
      <c r="V47" s="10"/>
      <c r="W47" s="10"/>
      <c r="X47" s="10"/>
      <c r="Y47" s="10"/>
      <c r="Z47" s="10"/>
    </row>
    <row r="48" spans="1:27" x14ac:dyDescent="0.3">
      <c r="G48" s="10"/>
      <c r="H48" s="10"/>
      <c r="I48" s="10"/>
      <c r="J48" s="10"/>
      <c r="K48" s="10"/>
      <c r="L48" s="10"/>
      <c r="M48" s="10"/>
      <c r="N48" s="10"/>
      <c r="O48" s="10"/>
      <c r="R48" s="10"/>
      <c r="S48" s="10"/>
      <c r="T48" s="10"/>
      <c r="U48" s="10"/>
      <c r="V48" s="10"/>
      <c r="W48" s="10"/>
      <c r="X48" s="10"/>
      <c r="Y48" s="10"/>
      <c r="Z48" s="10"/>
    </row>
    <row r="49" spans="7:26" x14ac:dyDescent="0.3">
      <c r="G49" s="10"/>
      <c r="H49" s="10"/>
      <c r="I49" s="10"/>
      <c r="J49" s="10"/>
      <c r="K49" s="10"/>
      <c r="L49" s="10"/>
      <c r="M49" s="10"/>
      <c r="N49" s="10"/>
      <c r="O49" s="10"/>
      <c r="R49" s="10"/>
      <c r="S49" s="10"/>
      <c r="T49" s="10"/>
      <c r="U49" s="10"/>
      <c r="V49" s="10"/>
      <c r="W49" s="10"/>
      <c r="X49" s="10"/>
      <c r="Y49" s="10"/>
      <c r="Z49" s="10"/>
    </row>
    <row r="50" spans="7:26" x14ac:dyDescent="0.3">
      <c r="G50" s="10"/>
      <c r="H50" s="10"/>
      <c r="I50" s="10"/>
      <c r="J50" s="10"/>
      <c r="K50" s="10"/>
      <c r="L50" s="10"/>
      <c r="M50" s="10"/>
      <c r="N50" s="10"/>
      <c r="O50" s="10"/>
      <c r="R50" s="10"/>
      <c r="S50" s="10"/>
      <c r="T50" s="10"/>
      <c r="U50" s="10"/>
      <c r="V50" s="10"/>
      <c r="W50" s="10"/>
      <c r="X50" s="10"/>
      <c r="Y50" s="10"/>
      <c r="Z50" s="10"/>
    </row>
    <row r="51" spans="7:26" x14ac:dyDescent="0.3">
      <c r="G51" s="10"/>
      <c r="H51" s="10"/>
      <c r="I51" s="10"/>
      <c r="J51" s="10"/>
      <c r="K51" s="10"/>
      <c r="L51" s="10"/>
      <c r="M51" s="10"/>
      <c r="N51" s="10"/>
      <c r="O51" s="10"/>
      <c r="R51" s="10"/>
      <c r="S51" s="10"/>
      <c r="T51" s="10"/>
      <c r="U51" s="10"/>
      <c r="V51" s="10"/>
      <c r="W51" s="10"/>
      <c r="X51" s="10"/>
      <c r="Y51" s="10"/>
      <c r="Z51" s="10"/>
    </row>
    <row r="52" spans="7:26" x14ac:dyDescent="0.3">
      <c r="G52" s="10"/>
      <c r="H52" s="10"/>
      <c r="I52" s="10"/>
      <c r="J52" s="10"/>
      <c r="K52" s="10"/>
      <c r="L52" s="10"/>
      <c r="M52" s="10"/>
      <c r="N52" s="10"/>
      <c r="O52" s="10"/>
      <c r="R52" s="10"/>
      <c r="S52" s="10"/>
      <c r="T52" s="10"/>
      <c r="U52" s="10"/>
      <c r="V52" s="10"/>
      <c r="W52" s="10"/>
      <c r="X52" s="10"/>
      <c r="Y52" s="10"/>
      <c r="Z52" s="10"/>
    </row>
    <row r="53" spans="7:26" x14ac:dyDescent="0.3">
      <c r="G53" s="10"/>
      <c r="H53" s="10"/>
      <c r="I53" s="10"/>
      <c r="J53" s="10"/>
      <c r="K53" s="10"/>
      <c r="L53" s="10"/>
      <c r="M53" s="10"/>
      <c r="N53" s="10"/>
      <c r="O53" s="10"/>
      <c r="R53" s="10"/>
      <c r="S53" s="10"/>
      <c r="T53" s="10"/>
      <c r="U53" s="10"/>
      <c r="V53" s="10"/>
      <c r="W53" s="10"/>
      <c r="X53" s="10"/>
      <c r="Y53" s="10"/>
      <c r="Z53" s="10"/>
    </row>
    <row r="54" spans="7:26" x14ac:dyDescent="0.3">
      <c r="G54" s="10"/>
      <c r="H54" s="10"/>
      <c r="I54" s="10"/>
      <c r="J54" s="10"/>
      <c r="K54" s="10"/>
      <c r="L54" s="10"/>
      <c r="M54" s="10"/>
      <c r="N54" s="10"/>
      <c r="O54" s="10"/>
      <c r="R54" s="10"/>
      <c r="S54" s="10"/>
      <c r="T54" s="10"/>
      <c r="U54" s="10"/>
      <c r="V54" s="10"/>
      <c r="W54" s="10"/>
      <c r="X54" s="10"/>
      <c r="Y54" s="10"/>
      <c r="Z54" s="10"/>
    </row>
    <row r="55" spans="7:26" x14ac:dyDescent="0.3">
      <c r="G55" s="10"/>
      <c r="H55" s="10"/>
      <c r="I55" s="10"/>
      <c r="J55" s="10"/>
      <c r="K55" s="10"/>
      <c r="L55" s="10"/>
      <c r="M55" s="10"/>
      <c r="N55" s="10"/>
      <c r="O55" s="10"/>
      <c r="R55" s="10"/>
      <c r="S55" s="10"/>
      <c r="T55" s="10"/>
      <c r="U55" s="10"/>
      <c r="V55" s="10"/>
      <c r="W55" s="10"/>
      <c r="X55" s="10"/>
      <c r="Y55" s="10"/>
      <c r="Z55" s="10"/>
    </row>
    <row r="56" spans="7:26" x14ac:dyDescent="0.3">
      <c r="G56" s="10"/>
      <c r="H56" s="10"/>
      <c r="I56" s="10"/>
      <c r="J56" s="10"/>
      <c r="K56" s="10"/>
      <c r="L56" s="10"/>
      <c r="M56" s="10"/>
      <c r="N56" s="10"/>
      <c r="O56" s="10"/>
      <c r="R56" s="10"/>
      <c r="S56" s="10"/>
      <c r="T56" s="10"/>
      <c r="U56" s="10"/>
      <c r="V56" s="10"/>
      <c r="W56" s="10"/>
      <c r="X56" s="10"/>
      <c r="Y56" s="10"/>
      <c r="Z56" s="10"/>
    </row>
    <row r="57" spans="7:26" x14ac:dyDescent="0.3">
      <c r="G57" s="10"/>
      <c r="H57" s="10"/>
      <c r="I57" s="10"/>
      <c r="J57" s="10"/>
      <c r="K57" s="10"/>
      <c r="L57" s="10"/>
      <c r="M57" s="10"/>
      <c r="N57" s="10"/>
      <c r="O57" s="10"/>
      <c r="R57" s="10"/>
      <c r="S57" s="10"/>
      <c r="T57" s="10"/>
      <c r="U57" s="10"/>
      <c r="V57" s="10"/>
      <c r="W57" s="10"/>
      <c r="X57" s="10"/>
      <c r="Y57" s="10"/>
      <c r="Z57" s="10"/>
    </row>
    <row r="58" spans="7:26" x14ac:dyDescent="0.3">
      <c r="G58" s="10"/>
      <c r="H58" s="10"/>
      <c r="I58" s="10"/>
      <c r="J58" s="10"/>
      <c r="K58" s="10"/>
      <c r="L58" s="10"/>
      <c r="M58" s="10"/>
      <c r="N58" s="10"/>
      <c r="O58" s="10"/>
      <c r="P58" s="10"/>
      <c r="Q58" s="10"/>
      <c r="R58" s="10"/>
      <c r="S58" s="10"/>
      <c r="T58" s="10"/>
      <c r="U58" s="10"/>
      <c r="V58" s="10"/>
      <c r="W58" s="10"/>
      <c r="X58" s="10"/>
      <c r="Y58" s="10"/>
      <c r="Z58" s="10"/>
    </row>
    <row r="59" spans="7:26" x14ac:dyDescent="0.3">
      <c r="G59" s="10"/>
      <c r="H59" s="10"/>
      <c r="I59" s="10"/>
      <c r="J59" s="10"/>
      <c r="K59" s="10"/>
      <c r="L59" s="10"/>
      <c r="M59" s="10"/>
      <c r="N59" s="10"/>
      <c r="O59" s="10"/>
      <c r="P59" s="10"/>
      <c r="Q59" s="10"/>
      <c r="R59" s="10"/>
      <c r="S59" s="10"/>
      <c r="T59" s="10"/>
      <c r="U59" s="10"/>
      <c r="V59" s="10"/>
      <c r="W59" s="10"/>
      <c r="X59" s="10"/>
      <c r="Y59" s="10"/>
      <c r="Z59" s="10"/>
    </row>
    <row r="60" spans="7:26" x14ac:dyDescent="0.3">
      <c r="G60" s="10"/>
      <c r="H60" s="10"/>
      <c r="I60" s="10"/>
      <c r="J60" s="10"/>
      <c r="K60" s="10"/>
      <c r="L60" s="10"/>
      <c r="M60" s="10"/>
      <c r="N60" s="10"/>
      <c r="O60" s="10"/>
      <c r="P60" s="10"/>
      <c r="Q60" s="10"/>
      <c r="R60" s="10"/>
      <c r="S60" s="10"/>
      <c r="T60" s="10"/>
      <c r="U60" s="10"/>
      <c r="V60" s="10"/>
      <c r="W60" s="10"/>
      <c r="X60" s="10"/>
      <c r="Y60" s="10"/>
      <c r="Z60" s="10"/>
    </row>
    <row r="61" spans="7:26" x14ac:dyDescent="0.3">
      <c r="G61" s="10"/>
      <c r="H61" s="10"/>
      <c r="I61" s="10"/>
      <c r="J61" s="10"/>
      <c r="K61" s="10"/>
      <c r="L61" s="10"/>
      <c r="M61" s="10"/>
      <c r="N61" s="10"/>
      <c r="O61" s="10"/>
      <c r="P61" s="10"/>
      <c r="Q61" s="10"/>
      <c r="R61" s="10"/>
      <c r="S61" s="10"/>
      <c r="T61" s="10"/>
      <c r="U61" s="10"/>
      <c r="V61" s="10"/>
      <c r="W61" s="10"/>
      <c r="X61" s="10"/>
      <c r="Y61" s="10"/>
      <c r="Z61" s="10"/>
    </row>
    <row r="62" spans="7:26" x14ac:dyDescent="0.3">
      <c r="G62" s="10"/>
      <c r="H62" s="10"/>
      <c r="I62" s="10"/>
      <c r="J62" s="10"/>
      <c r="K62" s="10"/>
      <c r="L62" s="10"/>
      <c r="M62" s="10"/>
      <c r="N62" s="10"/>
      <c r="O62" s="10"/>
      <c r="P62" s="10"/>
      <c r="Q62" s="10"/>
      <c r="R62" s="10"/>
      <c r="S62" s="10"/>
      <c r="T62" s="10"/>
      <c r="U62" s="10"/>
      <c r="V62" s="10"/>
      <c r="W62" s="10"/>
      <c r="X62" s="10"/>
      <c r="Y62" s="10"/>
      <c r="Z62" s="10"/>
    </row>
    <row r="63" spans="7:26" x14ac:dyDescent="0.3">
      <c r="G63" s="10"/>
      <c r="H63" s="10"/>
      <c r="I63" s="10"/>
      <c r="J63" s="10"/>
      <c r="K63" s="10"/>
      <c r="L63" s="10"/>
      <c r="M63" s="10"/>
      <c r="N63" s="10"/>
      <c r="O63" s="10"/>
      <c r="P63" s="10"/>
      <c r="Q63" s="10"/>
      <c r="R63" s="10"/>
      <c r="S63" s="10"/>
      <c r="T63" s="10"/>
      <c r="U63" s="10"/>
      <c r="V63" s="10"/>
      <c r="W63" s="10"/>
      <c r="X63" s="10"/>
      <c r="Y63" s="10"/>
      <c r="Z63" s="10"/>
    </row>
    <row r="64" spans="7:26" x14ac:dyDescent="0.3">
      <c r="G64" s="10"/>
      <c r="H64" s="10"/>
      <c r="I64" s="10"/>
      <c r="J64" s="10"/>
      <c r="K64" s="10"/>
      <c r="L64" s="10"/>
      <c r="M64" s="10"/>
      <c r="N64" s="10"/>
      <c r="O64" s="10"/>
      <c r="P64" s="10"/>
      <c r="Q64" s="10"/>
      <c r="R64" s="10"/>
      <c r="S64" s="10"/>
      <c r="T64" s="10"/>
      <c r="U64" s="10"/>
      <c r="V64" s="10"/>
      <c r="W64" s="10"/>
      <c r="X64" s="10"/>
      <c r="Y64" s="10"/>
      <c r="Z64" s="10"/>
    </row>
    <row r="65" spans="7:26" x14ac:dyDescent="0.3">
      <c r="G65" s="10"/>
      <c r="H65" s="10"/>
      <c r="I65" s="10"/>
      <c r="J65" s="10"/>
      <c r="K65" s="10"/>
      <c r="L65" s="10"/>
      <c r="M65" s="10"/>
      <c r="N65" s="10"/>
      <c r="O65" s="10"/>
      <c r="P65" s="10"/>
      <c r="Q65" s="10"/>
      <c r="R65" s="10"/>
      <c r="S65" s="10"/>
      <c r="T65" s="10"/>
      <c r="U65" s="10"/>
      <c r="V65" s="10"/>
      <c r="W65" s="10"/>
      <c r="X65" s="10"/>
      <c r="Y65" s="10"/>
      <c r="Z65" s="10"/>
    </row>
    <row r="66" spans="7:26" x14ac:dyDescent="0.3">
      <c r="G66" s="10"/>
      <c r="H66" s="10"/>
      <c r="I66" s="10"/>
      <c r="J66" s="10"/>
      <c r="K66" s="10"/>
      <c r="L66" s="10"/>
      <c r="M66" s="10"/>
      <c r="N66" s="10"/>
      <c r="O66" s="10"/>
      <c r="P66" s="10"/>
      <c r="Q66" s="10"/>
      <c r="R66" s="10"/>
      <c r="S66" s="10"/>
      <c r="T66" s="10"/>
      <c r="U66" s="10"/>
      <c r="V66" s="10"/>
      <c r="W66" s="10"/>
      <c r="X66" s="10"/>
      <c r="Y66" s="10"/>
      <c r="Z66" s="10"/>
    </row>
    <row r="67" spans="7:26" x14ac:dyDescent="0.3">
      <c r="G67" s="10"/>
      <c r="H67" s="10"/>
      <c r="I67" s="10"/>
      <c r="J67" s="10"/>
      <c r="K67" s="10"/>
      <c r="L67" s="10"/>
      <c r="M67" s="10"/>
      <c r="N67" s="10"/>
      <c r="O67" s="10"/>
      <c r="P67" s="10"/>
      <c r="Q67" s="10"/>
      <c r="R67" s="10"/>
      <c r="S67" s="10"/>
      <c r="T67" s="10"/>
      <c r="U67" s="10"/>
      <c r="V67" s="10"/>
      <c r="W67" s="10"/>
      <c r="X67" s="10"/>
      <c r="Y67" s="10"/>
      <c r="Z67" s="10"/>
    </row>
    <row r="68" spans="7:26" x14ac:dyDescent="0.3">
      <c r="G68" s="10"/>
      <c r="H68" s="10"/>
      <c r="I68" s="10"/>
      <c r="J68" s="10"/>
      <c r="K68" s="10"/>
      <c r="L68" s="10"/>
      <c r="M68" s="10"/>
      <c r="N68" s="10"/>
      <c r="O68" s="10"/>
      <c r="P68" s="10"/>
      <c r="Q68" s="10"/>
      <c r="R68" s="10"/>
      <c r="S68" s="10"/>
      <c r="T68" s="10"/>
      <c r="U68" s="10"/>
      <c r="V68" s="10"/>
      <c r="W68" s="10"/>
      <c r="X68" s="10"/>
      <c r="Y68" s="10"/>
      <c r="Z68" s="10"/>
    </row>
    <row r="69" spans="7:26" x14ac:dyDescent="0.3">
      <c r="G69" s="10"/>
      <c r="H69" s="10"/>
      <c r="I69" s="10"/>
      <c r="J69" s="10"/>
      <c r="K69" s="10"/>
      <c r="L69" s="10"/>
      <c r="M69" s="10"/>
      <c r="N69" s="10"/>
      <c r="O69" s="10"/>
      <c r="P69" s="10"/>
      <c r="Q69" s="10"/>
      <c r="R69" s="10"/>
      <c r="S69" s="10"/>
      <c r="T69" s="10"/>
      <c r="U69" s="10"/>
      <c r="V69" s="10"/>
      <c r="W69" s="10"/>
      <c r="X69" s="10"/>
      <c r="Y69" s="10"/>
      <c r="Z69" s="10"/>
    </row>
    <row r="70" spans="7:26" x14ac:dyDescent="0.3">
      <c r="G70" s="10"/>
      <c r="H70" s="10"/>
      <c r="I70" s="10"/>
      <c r="J70" s="10"/>
      <c r="K70" s="10"/>
      <c r="L70" s="10"/>
      <c r="M70" s="10"/>
      <c r="N70" s="10"/>
      <c r="O70" s="10"/>
      <c r="P70" s="10"/>
      <c r="Q70" s="10"/>
      <c r="R70" s="10"/>
      <c r="S70" s="10"/>
      <c r="T70" s="10"/>
      <c r="U70" s="10"/>
      <c r="V70" s="10"/>
      <c r="W70" s="10"/>
      <c r="X70" s="10"/>
      <c r="Y70" s="10"/>
      <c r="Z70" s="10"/>
    </row>
    <row r="71" spans="7:26" x14ac:dyDescent="0.3">
      <c r="G71" s="10"/>
      <c r="H71" s="10"/>
      <c r="I71" s="10"/>
      <c r="J71" s="10"/>
      <c r="K71" s="10"/>
      <c r="L71" s="10"/>
      <c r="M71" s="10"/>
      <c r="N71" s="10"/>
      <c r="O71" s="10"/>
      <c r="P71" s="10"/>
      <c r="Q71" s="10"/>
      <c r="R71" s="10"/>
      <c r="S71" s="10"/>
      <c r="T71" s="10"/>
      <c r="U71" s="10"/>
      <c r="V71" s="10"/>
      <c r="W71" s="10"/>
      <c r="X71" s="10"/>
      <c r="Y71" s="10"/>
      <c r="Z71" s="10"/>
    </row>
    <row r="72" spans="7:26" x14ac:dyDescent="0.3">
      <c r="G72" s="10"/>
      <c r="H72" s="10"/>
      <c r="I72" s="10"/>
      <c r="J72" s="10"/>
      <c r="K72" s="10"/>
      <c r="L72" s="10"/>
      <c r="M72" s="10"/>
      <c r="N72" s="10"/>
      <c r="O72" s="10"/>
      <c r="P72" s="10"/>
      <c r="Q72" s="10"/>
      <c r="R72" s="10"/>
      <c r="S72" s="10"/>
      <c r="T72" s="10"/>
      <c r="U72" s="10"/>
      <c r="V72" s="10"/>
      <c r="W72" s="10"/>
      <c r="X72" s="10"/>
      <c r="Y72" s="10"/>
      <c r="Z72" s="10"/>
    </row>
    <row r="73" spans="7:26" x14ac:dyDescent="0.3">
      <c r="G73" s="10"/>
      <c r="H73" s="10"/>
      <c r="I73" s="10"/>
      <c r="J73" s="10"/>
      <c r="K73" s="10"/>
      <c r="L73" s="10"/>
      <c r="M73" s="10"/>
      <c r="N73" s="10"/>
      <c r="O73" s="10"/>
      <c r="P73" s="10"/>
      <c r="Q73" s="10"/>
      <c r="R73" s="10"/>
      <c r="S73" s="10"/>
      <c r="T73" s="10"/>
      <c r="U73" s="10"/>
      <c r="V73" s="10"/>
      <c r="W73" s="10"/>
      <c r="X73" s="10"/>
      <c r="Y73" s="10"/>
      <c r="Z73" s="10"/>
    </row>
    <row r="74" spans="7:26" x14ac:dyDescent="0.3">
      <c r="G74" s="10"/>
      <c r="H74" s="10"/>
      <c r="I74" s="10"/>
      <c r="J74" s="10"/>
      <c r="K74" s="10"/>
      <c r="L74" s="10"/>
      <c r="M74" s="10"/>
      <c r="N74" s="10"/>
      <c r="O74" s="10"/>
      <c r="P74" s="10"/>
      <c r="Q74" s="10"/>
      <c r="R74" s="10"/>
      <c r="S74" s="10"/>
      <c r="T74" s="10"/>
      <c r="U74" s="10"/>
      <c r="V74" s="10"/>
      <c r="W74" s="10"/>
      <c r="X74" s="10"/>
      <c r="Y74" s="10"/>
      <c r="Z74" s="10"/>
    </row>
    <row r="75" spans="7:26" x14ac:dyDescent="0.3">
      <c r="G75" s="10"/>
      <c r="H75" s="10"/>
      <c r="I75" s="10"/>
      <c r="J75" s="10"/>
      <c r="K75" s="10"/>
      <c r="L75" s="10"/>
      <c r="M75" s="10"/>
      <c r="N75" s="10"/>
      <c r="O75" s="10"/>
      <c r="P75" s="10"/>
      <c r="Q75" s="10"/>
      <c r="R75" s="10"/>
      <c r="S75" s="10"/>
      <c r="T75" s="10"/>
      <c r="U75" s="10"/>
      <c r="V75" s="10"/>
      <c r="W75" s="10"/>
      <c r="X75" s="10"/>
      <c r="Y75" s="10"/>
      <c r="Z75" s="10"/>
    </row>
    <row r="76" spans="7:26" x14ac:dyDescent="0.3">
      <c r="G76" s="10"/>
      <c r="H76" s="10"/>
      <c r="I76" s="10"/>
      <c r="J76" s="10"/>
      <c r="K76" s="10"/>
      <c r="L76" s="10"/>
      <c r="M76" s="10"/>
      <c r="N76" s="10"/>
      <c r="O76" s="10"/>
      <c r="P76" s="10"/>
      <c r="Q76" s="10"/>
      <c r="R76" s="10"/>
      <c r="S76" s="10"/>
      <c r="T76" s="10"/>
      <c r="U76" s="10"/>
      <c r="V76" s="10"/>
      <c r="W76" s="10"/>
      <c r="X76" s="10"/>
      <c r="Y76" s="10"/>
      <c r="Z76" s="10"/>
    </row>
    <row r="77" spans="7:26" x14ac:dyDescent="0.3">
      <c r="G77" s="10"/>
      <c r="H77" s="10"/>
      <c r="I77" s="10"/>
      <c r="J77" s="10"/>
      <c r="K77" s="10"/>
      <c r="L77" s="10"/>
      <c r="M77" s="10"/>
      <c r="N77" s="10"/>
      <c r="O77" s="10"/>
      <c r="P77" s="10"/>
      <c r="Q77" s="10"/>
      <c r="R77" s="10"/>
      <c r="S77" s="10"/>
      <c r="T77" s="10"/>
      <c r="U77" s="10"/>
      <c r="V77" s="10"/>
      <c r="W77" s="10"/>
      <c r="X77" s="10"/>
      <c r="Y77" s="10"/>
      <c r="Z77" s="10"/>
    </row>
    <row r="78" spans="7:26" x14ac:dyDescent="0.3">
      <c r="G78" s="10"/>
      <c r="H78" s="10"/>
      <c r="I78" s="10"/>
      <c r="J78" s="10"/>
      <c r="K78" s="10"/>
      <c r="L78" s="10"/>
      <c r="M78" s="10"/>
      <c r="N78" s="10"/>
      <c r="O78" s="10"/>
      <c r="P78" s="10"/>
      <c r="Q78" s="10"/>
      <c r="R78" s="10"/>
      <c r="S78" s="10"/>
      <c r="T78" s="10"/>
      <c r="U78" s="10"/>
      <c r="V78" s="10"/>
      <c r="W78" s="10"/>
      <c r="X78" s="10"/>
      <c r="Y78" s="10"/>
      <c r="Z78"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6DF55D-74D1-467F-9D43-00DB6F98A4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Harika Boggavarapu</cp:lastModifiedBy>
  <dcterms:created xsi:type="dcterms:W3CDTF">2025-08-23T05:19:16Z</dcterms:created>
  <dcterms:modified xsi:type="dcterms:W3CDTF">2026-01-05T18:29:31Z</dcterms:modified>
</cp:coreProperties>
</file>